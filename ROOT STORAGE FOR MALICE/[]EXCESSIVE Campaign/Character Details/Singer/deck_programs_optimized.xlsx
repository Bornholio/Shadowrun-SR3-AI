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rograms" sheetId="1" state="visible" r:id="rId3"/>
    <sheet name="Deck Library" sheetId="2" state="visible" r:id="rId4"/>
    <sheet name="Rules &amp; Options" sheetId="3" state="visible" r:id="rId5"/>
  </sheets>
  <definedNames>
    <definedName function="false" hidden="true" localSheetId="0" name="_xlnm._FilterDatabase" vbProcedure="false">'All Programs'!$A$1:$L$151</definedName>
    <definedName function="false" hidden="true" localSheetId="1" name="_xlnm._FilterDatabase" vbProcedure="false">'Deck Library'!$A$1:$N$1</definedName>
    <definedName function="false" hidden="false" name="Muck" vbProcedure="false">'All Programs'!$D$2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1" authorId="0">
      <text>
        <r>
          <rPr>
            <sz val="10"/>
            <rFont val="Arial"/>
            <family val="2"/>
          </rPr>
          <t xml:space="preserve">Program multipliers and option modifiers transcribed from the supplied images. Default Rating is 6 and can be changed.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1" authorId="0">
      <text>
        <r>
          <rPr>
            <sz val="10"/>
            <rFont val="Arial"/>
            <family val="2"/>
          </rPr>
          <t xml:space="preserve">Rows populated from 100e_deck_program_library(1).md. Calculated OC/AM use the optimized-size rules requested in chat; original OC/AM are preserved in cell comments.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" authorId="0">
      <text>
        <r>
          <rPr>
            <sz val="10"/>
            <rFont val="Arial"/>
            <family val="2"/>
          </rPr>
          <t xml:space="preserve">Original entry: Armor 6 `Diamondlike coating on the robe or clothing`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Original entry: Cloak 6 `Swarm of Bats`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Original entry: Lock-On 6 `Shadow Tentacles`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Original entry: Medic 6 `Tsathoggua`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Original entry: Restore 6 `Dozens of Amoeba`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Original entry: Shield 6 `Armored Gauntlet`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Original entry: Attack D 6 `Skeletal Hand`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Original entry: Attack S 6 `Scythe`
Notes: Targeting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Original entry: Hog 6 `Poison Breath`
Notes: Targeting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Original entry: Slow 6 `Shadows that Wrap`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Original entry: Steamroller 6 `Colours out of Space`
Notes: Stealth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Original entry: Analyze 6 `A single four winged eye`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Original entry: Analyze 6 `A swarm of disembodied eyes`
Notes: DINAB 6
AR: 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Original entry: Browse 6 `Blanket of grasping tentacles that gather the information`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Original entry: Camo 6 `Cluster of frog like entities`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Original entry: Commlink 6 `Daoloth`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Original entry: Crash 6 `Migo`
Notes: Sneak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Original entry: Deception 6 `Cyaegha`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Original entry: Decrypt 6 `Elder Thing`
Notes: Sneak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Original entry: Defuse 6 `Abhoth`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Original entry: Doorstop 6 `Eihort`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Original entry: Encrypt 6 `Moon Beast`
Notes: Sneak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Original entry: Evaluate 6 `Dark Young`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Original entry: Mirrors 6 `Obsidian Hunting Horror`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Original entry: Purge 6 `Dagon`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Original entry: Read/Write 6 `Nyarlathotep`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Original entry: Redecorate 6 `Cthulhu`
Notes: Sneak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Original entry: Relocate 6 `Orthoganal Gate`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Original entry: Scanner 6`'Nodens`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Original entry: Scanner 6 `Serpent People`
Notes: DINAB 6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Original entry: Sniffer 6 `Zoth-Ommog`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Original entry: Snooper 6 `Shaggai`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Original entry: Spoof 6 `Shimmer of Mirrors`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Original entry: Swerve 6 `Cloud of Ravens`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Original entry: Triangulation 6 `Buopoth`
Notes: Sneak
AR: 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Original entry: Validate 6 `Yog-Sothoth`
Notes: Sneak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Original entry: BattleTac Matrix Link 6 `Ivory Horns`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Original entry: Cellular Link 6 `Black Velvet Hood`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Original entry: Compressor 6 `Dark Grimiore`
Notes: (none)
AR: 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Original entry: Cracker 6 `Shantak`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Original entry: Cracker 6 `Tulzscha`
Notes: DINAB 6, Cracking 6 Knowsoft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Original entry: Guardian 6 `Solar Angel`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Original entry: Maser Link 6 `Lightning Bolt`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Original entry: Microwave Link 6 `Ornate Brass Spyglass`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Original entry: Programming Suite 6 (HoloLISP) `Plato`
Notes: Self Coder 6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Original entry: Radio Link 6 `Gremlin with Radio Headset`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Original entry: Remote Control 6 `Organic RC Deck`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Original entry: Satellite Link 6 `Swarm of Stars`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Original entry: Sleaze 12 `A dozen Formless Spawn`
Notes: (none)
AR: 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Original entry: Track 6 `Hound of Tindalos`
Notes: (none)
AR: 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No multiplier for this program was present in the supplied multiplier images. Left blank rather than inferred.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No multiplier for this program was present in the supplied multiplier images. Left blank rather than inferred.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No multiplier for this program was present in the supplied multiplier images. Left blank rather than inferred.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No multiplier for this program was present in the supplied multiplier images. Left blank rather than inferred.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Original Deck Library OC: 72.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Original Deck Library OC: 72.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Original Deck Library OC: 90.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Original Deck Library OC: 128.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Original Deck Library OC: 254.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Original Deck Library OC: 32.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Original Deck Library OC: 32.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Original Deck Library OC: 32.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Original Deck Library OC: 32.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Original Deck Library OC: 32.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Original Deck Library OC: 122.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Original Deck Library OC: 96.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Original Deck Library OC: 64.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Original Deck Library OC: 128.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Original Deck Library OC: 90.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Original Deck Library OC: 18.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Original Deck Library OC: 36.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Original Deck Library OC: 108.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Original Deck Library OC: 334.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Original Deck Library OC: 36.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Original Deck Library OC: 18.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Original Deck Library OC: 18.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Original Deck Library OC: 608.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Original Deck Library OC: 18.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Original Deck Library OC: 54.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Original Deck Library OC: 36.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Original Deck Library OC: 216.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Original Deck Library OC: 144. Formula cell recalculates optimized OC from multiplier/effective rating.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Original Deck Library AM: 54.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" authorId="0">
      <text>
        <r>
          <rPr>
            <sz val="10"/>
            <rFont val="Arial"/>
            <family val="2"/>
          </rPr>
          <t xml:space="preserve">Original Deck Library AM: 54.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" authorId="0">
      <text>
        <r>
          <rPr>
            <sz val="10"/>
            <rFont val="Arial"/>
            <family val="2"/>
          </rPr>
          <t xml:space="preserve">Original Deck Library AM: 54.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Original Deck Library AM: 72.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Original Deck Library AM: 72.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Original Deck Library AM: 90.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Arial"/>
            <family val="2"/>
          </rPr>
          <t xml:space="preserve">Original Deck Library AM: 254.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Original Deck Library AM: 32.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Original Deck Library AM: 32.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Original Deck Library AM: 32.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Original Deck Library AM: 96.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Original Deck Library AM: 64.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Arial"/>
            <family val="2"/>
          </rPr>
          <t xml:space="preserve">Original Deck Library AM: 90.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Original Deck Library AM: 18.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Arial"/>
            <family val="2"/>
          </rPr>
          <t xml:space="preserve">Original Deck Library AM: 36.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Original Deck Library AM: 216.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Original Deck Library AM: 0. Load-to-AM flag was set from whether original AM was nonzero.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<sst xmlns="http://schemas.openxmlformats.org/spreadsheetml/2006/main" count="503" uniqueCount="129">
  <si>
    <t xml:space="preserve">Category</t>
  </si>
  <si>
    <t xml:space="preserve">Program</t>
  </si>
  <si>
    <t xml:space="preserve">Multiplier</t>
  </si>
  <si>
    <t xml:space="preserve">Rating</t>
  </si>
  <si>
    <t xml:space="preserve">Option</t>
  </si>
  <si>
    <t xml:space="preserve">Option 2</t>
  </si>
  <si>
    <t xml:space="preserve">Option Rating Add</t>
  </si>
  <si>
    <t xml:space="preserve">Effective Rating</t>
  </si>
  <si>
    <t xml:space="preserve">OC (Optimized MP)</t>
  </si>
  <si>
    <t xml:space="preserve">Load to AM?</t>
  </si>
  <si>
    <t xml:space="preserve">AM (MP)</t>
  </si>
  <si>
    <t xml:space="preserve">Cumulative Source - Base (MP)</t>
  </si>
  <si>
    <t xml:space="preserve">Defensive</t>
  </si>
  <si>
    <t xml:space="preserve">Armor</t>
  </si>
  <si>
    <t xml:space="preserve">Optimization</t>
  </si>
  <si>
    <t xml:space="preserve">Cloak</t>
  </si>
  <si>
    <t xml:space="preserve">Lock-On</t>
  </si>
  <si>
    <t xml:space="preserve">Medic</t>
  </si>
  <si>
    <t xml:space="preserve">DINAB</t>
  </si>
  <si>
    <t xml:space="preserve">Restore</t>
  </si>
  <si>
    <t xml:space="preserve">Shield</t>
  </si>
  <si>
    <t xml:space="preserve">Offensive</t>
  </si>
  <si>
    <t xml:space="preserve">Attack-D</t>
  </si>
  <si>
    <t xml:space="preserve">Attack-L</t>
  </si>
  <si>
    <t xml:space="preserve">Attack-M</t>
  </si>
  <si>
    <t xml:space="preserve">Attack-S</t>
  </si>
  <si>
    <t xml:space="preserve">Targeting</t>
  </si>
  <si>
    <t xml:space="preserve">Black Hammer</t>
  </si>
  <si>
    <t xml:space="preserve">Erosion</t>
  </si>
  <si>
    <t xml:space="preserve">Hog</t>
  </si>
  <si>
    <t xml:space="preserve">Killjoy</t>
  </si>
  <si>
    <t xml:space="preserve">Slow</t>
  </si>
  <si>
    <t xml:space="preserve">Steamroller</t>
  </si>
  <si>
    <t xml:space="preserve">Stealth</t>
  </si>
  <si>
    <t xml:space="preserve">Operational</t>
  </si>
  <si>
    <t xml:space="preserve">Analyze</t>
  </si>
  <si>
    <t xml:space="preserve">Browse</t>
  </si>
  <si>
    <t xml:space="preserve">Camo</t>
  </si>
  <si>
    <t xml:space="preserve">Sneak</t>
  </si>
  <si>
    <t xml:space="preserve">Commlink</t>
  </si>
  <si>
    <t xml:space="preserve">Crash</t>
  </si>
  <si>
    <t xml:space="preserve">Deception</t>
  </si>
  <si>
    <t xml:space="preserve">Decrypt</t>
  </si>
  <si>
    <t xml:space="preserve">Defuse</t>
  </si>
  <si>
    <t xml:space="preserve">Doorstop</t>
  </si>
  <si>
    <t xml:space="preserve">Encrypt</t>
  </si>
  <si>
    <t xml:space="preserve">Evaluate</t>
  </si>
  <si>
    <t xml:space="preserve">Mirrors</t>
  </si>
  <si>
    <t xml:space="preserve">Purge</t>
  </si>
  <si>
    <t xml:space="preserve">Read/Write</t>
  </si>
  <si>
    <t xml:space="preserve">Redecorate</t>
  </si>
  <si>
    <t xml:space="preserve">Relocate</t>
  </si>
  <si>
    <t xml:space="preserve">Scanner</t>
  </si>
  <si>
    <t xml:space="preserve">Sniffer</t>
  </si>
  <si>
    <t xml:space="preserve">Snooper</t>
  </si>
  <si>
    <t xml:space="preserve">Spoof</t>
  </si>
  <si>
    <t xml:space="preserve">Swerve</t>
  </si>
  <si>
    <t xml:space="preserve">Triangulation</t>
  </si>
  <si>
    <t xml:space="preserve">Validate</t>
  </si>
  <si>
    <t xml:space="preserve">Special</t>
  </si>
  <si>
    <t xml:space="preserve">BattleTac Matrixlink</t>
  </si>
  <si>
    <t xml:space="preserve">Cellular Link</t>
  </si>
  <si>
    <t xml:space="preserve">Compressor</t>
  </si>
  <si>
    <t xml:space="preserve">Cracker</t>
  </si>
  <si>
    <t xml:space="preserve">Guardian</t>
  </si>
  <si>
    <t xml:space="preserve">Maser Link</t>
  </si>
  <si>
    <t xml:space="preserve">Microwave Link</t>
  </si>
  <si>
    <t xml:space="preserve">Programming Suite</t>
  </si>
  <si>
    <t xml:space="preserve">Self-Coder</t>
  </si>
  <si>
    <t xml:space="preserve">Radio Link</t>
  </si>
  <si>
    <t xml:space="preserve">Remote Control</t>
  </si>
  <si>
    <t xml:space="preserve">Satellite Link</t>
  </si>
  <si>
    <t xml:space="preserve">Sleaze</t>
  </si>
  <si>
    <t xml:space="preserve">Track</t>
  </si>
  <si>
    <t xml:space="preserve">Option Rating</t>
  </si>
  <si>
    <t xml:space="preserve">Option Rating Add Function</t>
  </si>
  <si>
    <t xml:space="preserve">Cumulative Source - With Option (MP)</t>
  </si>
  <si>
    <t xml:space="preserve">Program Size &amp; Option Rules</t>
  </si>
  <si>
    <t xml:space="preserve">Rule / Option</t>
  </si>
  <si>
    <t xml:space="preserve">Rating Add Function</t>
  </si>
  <si>
    <t xml:space="preserve">Design Size Effect</t>
  </si>
  <si>
    <t xml:space="preserve">Notes</t>
  </si>
  <si>
    <t xml:space="preserve">Base program</t>
  </si>
  <si>
    <t xml:space="preserve">0</t>
  </si>
  <si>
    <t xml:space="preserve">Multiplier × Rating²</t>
  </si>
  <si>
    <t xml:space="preserve">Unoptimized size in MP</t>
  </si>
  <si>
    <t xml:space="preserve">Final compiled size × 50%</t>
  </si>
  <si>
    <t xml:space="preserve">Assumed for every program in this workbook; source code is double optimized final size.</t>
  </si>
  <si>
    <t xml:space="preserve">Adaptive</t>
  </si>
  <si>
    <t xml:space="preserve">+2</t>
  </si>
  <si>
    <t xml:space="preserve">Area</t>
  </si>
  <si>
    <t xml:space="preserve">+Area Rating</t>
  </si>
  <si>
    <t xml:space="preserve">Bug-Ridden</t>
  </si>
  <si>
    <t xml:space="preserve">Chaser</t>
  </si>
  <si>
    <t xml:space="preserve">+1</t>
  </si>
  <si>
    <t xml:space="preserve">Crashguard</t>
  </si>
  <si>
    <t xml:space="preserve">+Crashguard Rating</t>
  </si>
  <si>
    <t xml:space="preserve">+ROUNDUP(DINAB Rating / 2)</t>
  </si>
  <si>
    <t xml:space="preserve">Limit</t>
  </si>
  <si>
    <t xml:space="preserve">-1</t>
  </si>
  <si>
    <t xml:space="preserve">Noise</t>
  </si>
  <si>
    <t xml:space="preserve">-Noise Rating</t>
  </si>
  <si>
    <t xml:space="preserve">One-Shot</t>
  </si>
  <si>
    <t xml:space="preserve">Actual Size -75%; Design Size +50%</t>
  </si>
  <si>
    <t xml:space="preserve">Not applied to OC formula in this workbook because user specified optimized code and rating-add sizing rules.</t>
  </si>
  <si>
    <t xml:space="preserve">Penetration</t>
  </si>
  <si>
    <t xml:space="preserve">Selective</t>
  </si>
  <si>
    <t xml:space="preserve">Sensitive</t>
  </si>
  <si>
    <t xml:space="preserve">Actual Size -50%; Design Size -50%</t>
  </si>
  <si>
    <t xml:space="preserve">Not applied to OC formula.</t>
  </si>
  <si>
    <t xml:space="preserve">+(2 × Sneak Rating)</t>
  </si>
  <si>
    <t xml:space="preserve">Squeeze</t>
  </si>
  <si>
    <t xml:space="preserve">+Stealth Rating</t>
  </si>
  <si>
    <t xml:space="preserve">IC: Armor</t>
  </si>
  <si>
    <t xml:space="preserve">IC: Cascading IC</t>
  </si>
  <si>
    <t xml:space="preserve">+3</t>
  </si>
  <si>
    <t xml:space="preserve">IC: Expert Defense</t>
  </si>
  <si>
    <t xml:space="preserve">IC: Expert Offense</t>
  </si>
  <si>
    <t xml:space="preserve">IC: Party Cluster</t>
  </si>
  <si>
    <t xml:space="preserve">IC: Shield</t>
  </si>
  <si>
    <t xml:space="preserve">IC: Shift</t>
  </si>
  <si>
    <t xml:space="preserve">IC: Trap</t>
  </si>
  <si>
    <t xml:space="preserve">+1 per linked IC program</t>
  </si>
  <si>
    <t xml:space="preserve">Programming Suite: Self-Coder</t>
  </si>
  <si>
    <t xml:space="preserve">+Self-Coder Rating</t>
  </si>
  <si>
    <t xml:space="preserve">Cumulative source-code calculation</t>
  </si>
  <si>
    <t xml:space="preserve">Base: Σ(M × r²), r=1..current Rating</t>
  </si>
  <si>
    <t xml:space="preserve">With option: Σ(M × (r + Rating Add)²), r=1..current Rating</t>
  </si>
  <si>
    <t xml:space="preserve">Because every program is assumed optimized, compiled OC is 1/2 design size and source for each version is double compiled size, returning M × effective rating² per source version.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</si>
</sst>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libri"/>
      <family val="2"/>
      <charset val="1"/>
    </font>
    <font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name val="Arial"/>
      <family val="2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7E6E6"/>
        <bgColor rgb="FFE4DFEC"/>
      </patternFill>
    </fill>
    <fill>
      <patternFill patternType="solid">
        <fgColor rgb="FFD9EAF7"/>
        <bgColor rgb="FFDDEBF7"/>
      </patternFill>
    </fill>
    <fill>
      <patternFill patternType="solid">
        <fgColor rgb="FFE4DFEC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DDEBF7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6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8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7E6E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1"/>
  <sheetViews>
    <sheetView showFormulas="false" showGridLines="fals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AC2" activeCellId="0" sqref="AC2:AC8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9.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1.53"/>
    <col collapsed="false" customWidth="true" hidden="false" outlineLevel="0" max="6" min="6" style="1" width="12.66"/>
    <col collapsed="false" customWidth="true" hidden="false" outlineLevel="0" max="7" min="7" style="1" width="13.35"/>
    <col collapsed="false" customWidth="true" hidden="false" outlineLevel="0" max="8" min="8" style="1" width="16"/>
    <col collapsed="false" customWidth="true" hidden="false" outlineLevel="0" max="9" min="9" style="1" width="15.99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true" outlineLevel="0" max="12" min="12" style="1" width="16.97"/>
    <col collapsed="false" customWidth="true" hidden="false" outlineLevel="0" max="26" min="15" style="1" width="4.91"/>
    <col collapsed="false" customWidth="true" hidden="false" outlineLevel="0" max="28" min="27" style="1" width="3.79"/>
    <col collapsed="false" customWidth="true" hidden="false" outlineLevel="0" max="29" min="29" style="1" width="16.83"/>
    <col collapsed="false" customWidth="true" hidden="false" outlineLevel="0" max="30" min="30" style="1" width="3.79"/>
    <col collapsed="false" customWidth="true" hidden="false" outlineLevel="0" max="16384" min="16383" style="1" width="11.53"/>
  </cols>
  <sheetData>
    <row r="1" customFormat="false" ht="4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n">
        <f aca="false">+SUM(K2:K100)</f>
        <v>6506</v>
      </c>
      <c r="N1" s="3" t="n">
        <f aca="false">+SUM(N2:N100)</f>
        <v>79904</v>
      </c>
      <c r="O1" s="4" t="n">
        <v>1</v>
      </c>
      <c r="P1" s="4" t="n">
        <v>2</v>
      </c>
      <c r="Q1" s="4" t="n">
        <v>3</v>
      </c>
      <c r="R1" s="4" t="n">
        <v>4</v>
      </c>
      <c r="S1" s="4" t="n">
        <v>5</v>
      </c>
      <c r="T1" s="4" t="n">
        <v>6</v>
      </c>
      <c r="U1" s="4" t="n">
        <v>7</v>
      </c>
      <c r="V1" s="4" t="n">
        <v>8</v>
      </c>
      <c r="W1" s="4" t="n">
        <v>9</v>
      </c>
      <c r="X1" s="4" t="n">
        <v>10</v>
      </c>
      <c r="Y1" s="4" t="n">
        <v>11</v>
      </c>
      <c r="Z1" s="4" t="n">
        <v>12</v>
      </c>
    </row>
    <row r="2" customFormat="false" ht="15" hidden="false" customHeight="false" outlineLevel="0" collapsed="false">
      <c r="A2" s="5" t="s">
        <v>12</v>
      </c>
      <c r="B2" s="5" t="s">
        <v>13</v>
      </c>
      <c r="C2" s="6" t="n">
        <v>3</v>
      </c>
      <c r="D2" s="7" t="n">
        <v>6</v>
      </c>
      <c r="E2" s="8"/>
      <c r="F2" s="8" t="s">
        <v>14</v>
      </c>
      <c r="G2" s="9"/>
      <c r="H2" s="9" t="n">
        <f aca="false">MAX(0,D2+G2)</f>
        <v>6</v>
      </c>
      <c r="I2" s="9" t="n">
        <f aca="false">IF(OR(C2="",H2=""),"",ROUNDUP(C2*H2^2/2,0))</f>
        <v>54</v>
      </c>
      <c r="J2" s="8" t="b">
        <f aca="false">TRUE()</f>
        <v>1</v>
      </c>
      <c r="K2" s="9" t="n">
        <f aca="false">IF(J2,I2,0)</f>
        <v>54</v>
      </c>
      <c r="L2" s="9" t="n">
        <f aca="false">IF(OR(C2="",D2=""),"",C2*D2*(D2+1)*(2*D2+1)/6)</f>
        <v>273</v>
      </c>
      <c r="N2" s="3" t="n">
        <f aca="false">+SUM(O2:Z2)</f>
        <v>546</v>
      </c>
      <c r="O2" s="1" t="n">
        <f aca="false">+IF($D2&gt;O$1-1,($G2+O$1)^2,0)*$C2*IF($F2="Optimization",2,1)</f>
        <v>6</v>
      </c>
      <c r="P2" s="1" t="n">
        <f aca="false">+IF($D2&gt;P$1-1,($G2+P$1)^2,0)*$C2*IF($F2="Optimization",2,1)</f>
        <v>24</v>
      </c>
      <c r="Q2" s="1" t="n">
        <f aca="false">+IF($D2&gt;Q$1-1,($G2+Q$1)^2,0)*$C2*IF($F2="Optimization",2,1)</f>
        <v>54</v>
      </c>
      <c r="R2" s="1" t="n">
        <f aca="false">+IF($D2&gt;R$1-1,($G2+R$1)^2,0)*$C2*IF($F2="Optimization",2,1)</f>
        <v>96</v>
      </c>
      <c r="S2" s="1" t="n">
        <f aca="false">+IF($D2&gt;S$1-1,($G2+S$1)^2,0)*$C2*IF($F2="Optimization",2,1)</f>
        <v>150</v>
      </c>
      <c r="T2" s="1" t="n">
        <f aca="false">+IF($D2&gt;T$1-1,($G2+T$1)^2,0)*$C2*IF($F2="Optimization",2,1)</f>
        <v>216</v>
      </c>
      <c r="U2" s="1" t="n">
        <f aca="false">+IF($D2&gt;U$1-1,($G2+U$1)^2,0)*$C2*IF($F2="Optimization",2,1)</f>
        <v>0</v>
      </c>
      <c r="V2" s="1" t="n">
        <f aca="false">+IF($D2&gt;V$1-1,($G2+V$1)^2,0)*$C2*IF($F2="Optimization",2,1)</f>
        <v>0</v>
      </c>
      <c r="W2" s="1" t="n">
        <f aca="false">+IF($D2&gt;W$1-1,($G2+W$1)^2,0)*$C2*IF($F2="Optimization",2,1)</f>
        <v>0</v>
      </c>
      <c r="X2" s="1" t="n">
        <f aca="false">+IF($D2&gt;X$1-1,($G2+X$1)^2,0)*$C2*IF($F2="Optimization",2,1)</f>
        <v>0</v>
      </c>
      <c r="Y2" s="1" t="n">
        <f aca="false">+IF($D2&gt;Y$1-1,($G2+Y$1)^2,0)*$C2*IF($F2="Optimization",2,1)</f>
        <v>0</v>
      </c>
      <c r="Z2" s="1" t="n">
        <f aca="false">+IF($D2&gt;Z$1-1,($G2+Z$1)^2,0)*$C2*IF($F2="Optimization",2,1)</f>
        <v>0</v>
      </c>
      <c r="AC2" s="1" t="str">
        <f aca="false">CONCATENATE(A2,"- ",F2,"-",E2)</f>
        <v>Defensive- Optimization-</v>
      </c>
    </row>
    <row r="3" customFormat="false" ht="15" hidden="false" customHeight="false" outlineLevel="0" collapsed="false">
      <c r="A3" s="5" t="s">
        <v>12</v>
      </c>
      <c r="B3" s="5" t="s">
        <v>15</v>
      </c>
      <c r="C3" s="6" t="n">
        <v>3</v>
      </c>
      <c r="D3" s="7" t="n">
        <f aca="false">Muck</f>
        <v>6</v>
      </c>
      <c r="E3" s="8"/>
      <c r="F3" s="8" t="s">
        <v>14</v>
      </c>
      <c r="G3" s="9"/>
      <c r="H3" s="9" t="n">
        <f aca="false">MAX(0,D3+G3)</f>
        <v>6</v>
      </c>
      <c r="I3" s="9" t="n">
        <f aca="false">IF(OR(C3="",H3=""),"",ROUNDUP(C3*H3^2/2,0))</f>
        <v>54</v>
      </c>
      <c r="J3" s="8" t="n">
        <f aca="false">TRUE()</f>
        <v>1</v>
      </c>
      <c r="K3" s="9" t="n">
        <f aca="false">IF(J3,I3,0)</f>
        <v>54</v>
      </c>
      <c r="L3" s="9" t="n">
        <f aca="false">IF(OR(C3="",D3=""),"",C3*D3*(D3+1)*(2*D3+1)/6)</f>
        <v>273</v>
      </c>
      <c r="N3" s="3" t="n">
        <f aca="false">+SUM(O3:Z3)</f>
        <v>546</v>
      </c>
      <c r="O3" s="1" t="n">
        <f aca="false">+IF($D3&gt;O$1-1,($G3+O$1)^2,0)*$C3*IF($F3="Optimization",2,1)</f>
        <v>6</v>
      </c>
      <c r="P3" s="1" t="n">
        <f aca="false">+IF($D3&gt;P$1-1,($G3+P$1)^2,0)*$C3*IF($F3="Optimization",2,1)</f>
        <v>24</v>
      </c>
      <c r="Q3" s="1" t="n">
        <f aca="false">+IF($D3&gt;Q$1-1,($G3+Q$1)^2,0)*$C3*IF($F3="Optimization",2,1)</f>
        <v>54</v>
      </c>
      <c r="R3" s="1" t="n">
        <f aca="false">+IF($D3&gt;R$1-1,($G3+R$1)^2,0)*$C3*IF($F3="Optimization",2,1)</f>
        <v>96</v>
      </c>
      <c r="S3" s="1" t="n">
        <f aca="false">+IF($D3&gt;S$1-1,($G3+S$1)^2,0)*$C3*IF($F3="Optimization",2,1)</f>
        <v>150</v>
      </c>
      <c r="T3" s="1" t="n">
        <f aca="false">+IF($D3&gt;T$1-1,($G3+T$1)^2,0)*$C3*IF($F3="Optimization",2,1)</f>
        <v>216</v>
      </c>
      <c r="U3" s="1" t="n">
        <f aca="false">+IF($D3&gt;U$1-1,($G3+U$1)^2,0)*$C3*IF($F3="Optimization",2,1)</f>
        <v>0</v>
      </c>
      <c r="V3" s="1" t="n">
        <f aca="false">+IF($D3&gt;V$1-1,($G3+V$1)^2,0)*$C3*IF($F3="Optimization",2,1)</f>
        <v>0</v>
      </c>
      <c r="W3" s="1" t="n">
        <f aca="false">+IF($D3&gt;W$1-1,($G3+W$1)^2,0)*$C3*IF($F3="Optimization",2,1)</f>
        <v>0</v>
      </c>
      <c r="X3" s="1" t="n">
        <f aca="false">+IF($D3&gt;X$1-1,($G3+X$1)^2,0)*$C3*IF($F3="Optimization",2,1)</f>
        <v>0</v>
      </c>
      <c r="Y3" s="1" t="n">
        <f aca="false">+IF($D3&gt;Y$1-1,($G3+Y$1)^2,0)*$C3*IF($F3="Optimization",2,1)</f>
        <v>0</v>
      </c>
      <c r="Z3" s="1" t="n">
        <f aca="false">+IF($D3&gt;Z$1-1,($G3+Z$1)^2,0)*$C3*IF($F3="Optimization",2,1)</f>
        <v>0</v>
      </c>
      <c r="AC3" s="1" t="str">
        <f aca="false">CONCATENATE(A3,"- ",F3,"-",E3)</f>
        <v>Defensive- Optimization-</v>
      </c>
    </row>
    <row r="4" customFormat="false" ht="15" hidden="false" customHeight="false" outlineLevel="0" collapsed="false">
      <c r="A4" s="5" t="s">
        <v>12</v>
      </c>
      <c r="B4" s="5" t="s">
        <v>16</v>
      </c>
      <c r="C4" s="6" t="n">
        <v>3</v>
      </c>
      <c r="D4" s="7" t="n">
        <f aca="false">Muck</f>
        <v>6</v>
      </c>
      <c r="E4" s="8"/>
      <c r="F4" s="8" t="s">
        <v>14</v>
      </c>
      <c r="G4" s="9" t="n">
        <f aca="false">IF(E4="",0,IF(E4="Adaptive",2,IF(E4="Area",N(F4),IF(E4="Chaser",1,IF(E4="Crashguard",N(F4),IF(E4="DINAB",ROUNDUP(N(F4)/2,0),IF(E4="Limit",-1,IF(E4="Noise",-N(F4),IF(E4="Penetration",1,IF(E4="Selective",1,IF(E4="Sneak",2*N(F4),IF(E4="Squeeze",1,IF(E4="Stealth",N(F4),IF(E4="Targeting",2,IF(E4="Armor",2,IF(E4="Cascading IC",3,IF(E4="Expert Defense",1,IF(E4="Expert Offense",1,IF(E4="Party Cluster",3,IF(E4="Shield",2,IF(E4="Shift",2,IF(E4="Trap",N(F4),IF(E4="Self-Coder",N(F4),0)))))))))))))))))))))))</f>
        <v>0</v>
      </c>
      <c r="H4" s="9" t="n">
        <f aca="false">MAX(0,D4+G4)</f>
        <v>6</v>
      </c>
      <c r="I4" s="9" t="n">
        <f aca="false">IF(OR(C4="",H4=""),"",ROUNDUP(C4*H4^2/2,0))</f>
        <v>54</v>
      </c>
      <c r="J4" s="8" t="n">
        <f aca="false">TRUE()</f>
        <v>1</v>
      </c>
      <c r="K4" s="9" t="n">
        <f aca="false">IF(J4,I4,0)</f>
        <v>54</v>
      </c>
      <c r="L4" s="9" t="n">
        <f aca="false">IF(OR(C4="",D4=""),"",C4*D4*(D4+1)*(2*D4+1)/6)</f>
        <v>273</v>
      </c>
      <c r="N4" s="3" t="n">
        <f aca="false">+SUM(O4:Z4)</f>
        <v>546</v>
      </c>
      <c r="O4" s="1" t="n">
        <f aca="false">+IF($D4&gt;O$1-1,($G4+O$1)^2,0)*$C4*IF($F4="Optimization",2,1)</f>
        <v>6</v>
      </c>
      <c r="P4" s="1" t="n">
        <f aca="false">+IF($D4&gt;P$1-1,($G4+P$1)^2,0)*$C4*IF($F4="Optimization",2,1)</f>
        <v>24</v>
      </c>
      <c r="Q4" s="1" t="n">
        <f aca="false">+IF($D4&gt;Q$1-1,($G4+Q$1)^2,0)*$C4*IF($F4="Optimization",2,1)</f>
        <v>54</v>
      </c>
      <c r="R4" s="1" t="n">
        <f aca="false">+IF($D4&gt;R$1-1,($G4+R$1)^2,0)*$C4*IF($F4="Optimization",2,1)</f>
        <v>96</v>
      </c>
      <c r="S4" s="1" t="n">
        <f aca="false">+IF($D4&gt;S$1-1,($G4+S$1)^2,0)*$C4*IF($F4="Optimization",2,1)</f>
        <v>150</v>
      </c>
      <c r="T4" s="1" t="n">
        <f aca="false">+IF($D4&gt;T$1-1,($G4+T$1)^2,0)*$C4*IF($F4="Optimization",2,1)</f>
        <v>216</v>
      </c>
      <c r="U4" s="1" t="n">
        <f aca="false">+IF($D4&gt;U$1-1,($G4+U$1)^2,0)*$C4*IF($F4="Optimization",2,1)</f>
        <v>0</v>
      </c>
      <c r="V4" s="1" t="n">
        <f aca="false">+IF($D4&gt;V$1-1,($G4+V$1)^2,0)*$C4*IF($F4="Optimization",2,1)</f>
        <v>0</v>
      </c>
      <c r="W4" s="1" t="n">
        <f aca="false">+IF($D4&gt;W$1-1,($G4+W$1)^2,0)*$C4*IF($F4="Optimization",2,1)</f>
        <v>0</v>
      </c>
      <c r="X4" s="1" t="n">
        <f aca="false">+IF($D4&gt;X$1-1,($G4+X$1)^2,0)*$C4*IF($F4="Optimization",2,1)</f>
        <v>0</v>
      </c>
      <c r="Y4" s="1" t="n">
        <f aca="false">+IF($D4&gt;Y$1-1,($G4+Y$1)^2,0)*$C4*IF($F4="Optimization",2,1)</f>
        <v>0</v>
      </c>
      <c r="Z4" s="1" t="n">
        <f aca="false">+IF($D4&gt;Z$1-1,($G4+Z$1)^2,0)*$C4*IF($F4="Optimization",2,1)</f>
        <v>0</v>
      </c>
      <c r="AC4" s="1" t="str">
        <f aca="false">CONCATENATE(A4,"- ",F4,"-",E4)</f>
        <v>Defensive- Optimization-</v>
      </c>
    </row>
    <row r="5" customFormat="false" ht="15" hidden="false" customHeight="false" outlineLevel="0" collapsed="false">
      <c r="A5" s="5" t="s">
        <v>12</v>
      </c>
      <c r="B5" s="5" t="s">
        <v>17</v>
      </c>
      <c r="C5" s="6" t="n">
        <v>4</v>
      </c>
      <c r="D5" s="7" t="n">
        <f aca="false">Muck</f>
        <v>6</v>
      </c>
      <c r="E5" s="8" t="s">
        <v>18</v>
      </c>
      <c r="F5" s="8" t="s">
        <v>14</v>
      </c>
      <c r="G5" s="9" t="n">
        <v>3</v>
      </c>
      <c r="H5" s="9" t="n">
        <f aca="false">MAX(0,D5+G5)</f>
        <v>9</v>
      </c>
      <c r="I5" s="9" t="n">
        <f aca="false">IF(OR(C5="",H5=""),"",ROUNDUP(C5*H5^2/2,0))</f>
        <v>162</v>
      </c>
      <c r="J5" s="8" t="n">
        <f aca="false">TRUE()</f>
        <v>1</v>
      </c>
      <c r="K5" s="9" t="n">
        <f aca="false">IF(J5,I5,0)</f>
        <v>162</v>
      </c>
      <c r="L5" s="9" t="n">
        <f aca="false">IF(OR(C5="",D5=""),"",C5*D5*(D5+1)*(2*D5+1)/6)</f>
        <v>364</v>
      </c>
      <c r="N5" s="3" t="n">
        <f aca="false">+SUM(O5:Z5)</f>
        <v>2168</v>
      </c>
      <c r="O5" s="1" t="n">
        <f aca="false">+IF($D5&gt;O$1-1,($G5+O$1)^2,0)*$C5*IF($F5="Optimization",2,1)</f>
        <v>128</v>
      </c>
      <c r="P5" s="1" t="n">
        <f aca="false">+IF($D5&gt;P$1-1,($G5+P$1)^2,0)*$C5*IF($F5="Optimization",2,1)</f>
        <v>200</v>
      </c>
      <c r="Q5" s="1" t="n">
        <f aca="false">+IF($D5&gt;Q$1-1,($G5+Q$1)^2,0)*$C5*IF($F5="Optimization",2,1)</f>
        <v>288</v>
      </c>
      <c r="R5" s="1" t="n">
        <f aca="false">+IF($D5&gt;R$1-1,($G5+R$1)^2,0)*$C5*IF($F5="Optimization",2,1)</f>
        <v>392</v>
      </c>
      <c r="S5" s="1" t="n">
        <f aca="false">+IF($D5&gt;S$1-1,($G5+S$1)^2,0)*$C5*IF($F5="Optimization",2,1)</f>
        <v>512</v>
      </c>
      <c r="T5" s="1" t="n">
        <f aca="false">+IF($D5&gt;T$1-1,($G5+T$1)^2,0)*$C5*IF($F5="Optimization",2,1)</f>
        <v>648</v>
      </c>
      <c r="U5" s="1" t="n">
        <f aca="false">+IF($D5&gt;U$1-1,($G5+U$1)^2,0)*$C5*IF($F5="Optimization",2,1)</f>
        <v>0</v>
      </c>
      <c r="V5" s="1" t="n">
        <f aca="false">+IF($D5&gt;V$1-1,($G5+V$1)^2,0)*$C5*IF($F5="Optimization",2,1)</f>
        <v>0</v>
      </c>
      <c r="W5" s="1" t="n">
        <f aca="false">+IF($D5&gt;W$1-1,($G5+W$1)^2,0)*$C5*IF($F5="Optimization",2,1)</f>
        <v>0</v>
      </c>
      <c r="X5" s="1" t="n">
        <f aca="false">+IF($D5&gt;X$1-1,($G5+X$1)^2,0)*$C5*IF($F5="Optimization",2,1)</f>
        <v>0</v>
      </c>
      <c r="Y5" s="1" t="n">
        <f aca="false">+IF($D5&gt;Y$1-1,($G5+Y$1)^2,0)*$C5*IF($F5="Optimization",2,1)</f>
        <v>0</v>
      </c>
      <c r="Z5" s="1" t="n">
        <f aca="false">+IF($D5&gt;Z$1-1,($G5+Z$1)^2,0)*$C5*IF($F5="Optimization",2,1)</f>
        <v>0</v>
      </c>
      <c r="AC5" s="1" t="str">
        <f aca="false">CONCATENATE(A5,"- ",F5,"-",E5)</f>
        <v>Defensive- Optimization-DINAB</v>
      </c>
    </row>
    <row r="6" customFormat="false" ht="15" hidden="false" customHeight="false" outlineLevel="0" collapsed="false">
      <c r="A6" s="5" t="s">
        <v>12</v>
      </c>
      <c r="B6" s="5" t="s">
        <v>17</v>
      </c>
      <c r="C6" s="6" t="n">
        <v>4</v>
      </c>
      <c r="D6" s="7" t="n">
        <f aca="false">Muck</f>
        <v>6</v>
      </c>
      <c r="E6" s="8"/>
      <c r="F6" s="8" t="s">
        <v>14</v>
      </c>
      <c r="G6" s="9"/>
      <c r="H6" s="9" t="n">
        <f aca="false">MAX(0,D6+G6)</f>
        <v>6</v>
      </c>
      <c r="I6" s="9" t="n">
        <f aca="false">IF(OR(C6="",H6=""),"",ROUNDUP(C6*H6^2/2,0))</f>
        <v>72</v>
      </c>
      <c r="J6" s="8" t="n">
        <f aca="false">TRUE()</f>
        <v>1</v>
      </c>
      <c r="K6" s="9" t="n">
        <f aca="false">IF(J6,I6,0)</f>
        <v>72</v>
      </c>
      <c r="L6" s="9" t="n">
        <f aca="false">IF(OR(C6="",D6=""),"",C6*D6*(D6+1)*(2*D6+1)/6)</f>
        <v>364</v>
      </c>
      <c r="N6" s="3" t="n">
        <f aca="false">+SUM(O6:Z6)</f>
        <v>728</v>
      </c>
      <c r="O6" s="1" t="n">
        <f aca="false">+IF($D6&gt;O$1-1,($G6+O$1)^2,0)*$C6*IF($F6="Optimization",2,1)</f>
        <v>8</v>
      </c>
      <c r="P6" s="1" t="n">
        <f aca="false">+IF($D6&gt;P$1-1,($G6+P$1)^2,0)*$C6*IF($F6="Optimization",2,1)</f>
        <v>32</v>
      </c>
      <c r="Q6" s="1" t="n">
        <f aca="false">+IF($D6&gt;Q$1-1,($G6+Q$1)^2,0)*$C6*IF($F6="Optimization",2,1)</f>
        <v>72</v>
      </c>
      <c r="R6" s="1" t="n">
        <f aca="false">+IF($D6&gt;R$1-1,($G6+R$1)^2,0)*$C6*IF($F6="Optimization",2,1)</f>
        <v>128</v>
      </c>
      <c r="S6" s="1" t="n">
        <f aca="false">+IF($D6&gt;S$1-1,($G6+S$1)^2,0)*$C6*IF($F6="Optimization",2,1)</f>
        <v>200</v>
      </c>
      <c r="T6" s="1" t="n">
        <f aca="false">+IF($D6&gt;T$1-1,($G6+T$1)^2,0)*$C6*IF($F6="Optimization",2,1)</f>
        <v>288</v>
      </c>
      <c r="U6" s="1" t="n">
        <f aca="false">+IF($D6&gt;U$1-1,($G6+U$1)^2,0)*$C6*IF($F6="Optimization",2,1)</f>
        <v>0</v>
      </c>
      <c r="V6" s="1" t="n">
        <f aca="false">+IF($D6&gt;V$1-1,($G6+V$1)^2,0)*$C6*IF($F6="Optimization",2,1)</f>
        <v>0</v>
      </c>
      <c r="W6" s="1" t="n">
        <f aca="false">+IF($D6&gt;W$1-1,($G6+W$1)^2,0)*$C6*IF($F6="Optimization",2,1)</f>
        <v>0</v>
      </c>
      <c r="X6" s="1" t="n">
        <f aca="false">+IF($D6&gt;X$1-1,($G6+X$1)^2,0)*$C6*IF($F6="Optimization",2,1)</f>
        <v>0</v>
      </c>
      <c r="Y6" s="1" t="n">
        <f aca="false">+IF($D6&gt;Y$1-1,($G6+Y$1)^2,0)*$C6*IF($F6="Optimization",2,1)</f>
        <v>0</v>
      </c>
      <c r="Z6" s="1" t="n">
        <f aca="false">+IF($D6&gt;Z$1-1,($G6+Z$1)^2,0)*$C6*IF($F6="Optimization",2,1)</f>
        <v>0</v>
      </c>
      <c r="AC6" s="1" t="str">
        <f aca="false">CONCATENATE(A6,"- ",F6,"-",E6)</f>
        <v>Defensive- Optimization-</v>
      </c>
    </row>
    <row r="7" customFormat="false" ht="15" hidden="false" customHeight="false" outlineLevel="0" collapsed="false">
      <c r="A7" s="5" t="s">
        <v>12</v>
      </c>
      <c r="B7" s="5" t="s">
        <v>19</v>
      </c>
      <c r="C7" s="6" t="n">
        <v>3</v>
      </c>
      <c r="D7" s="7" t="n">
        <f aca="false">Muck</f>
        <v>6</v>
      </c>
      <c r="E7" s="8" t="s">
        <v>18</v>
      </c>
      <c r="F7" s="8" t="s">
        <v>14</v>
      </c>
      <c r="G7" s="9" t="n">
        <v>3</v>
      </c>
      <c r="H7" s="9" t="n">
        <f aca="false">MAX(0,D7+G7)</f>
        <v>9</v>
      </c>
      <c r="I7" s="9" t="n">
        <f aca="false">IF(OR(C7="",H7=""),"",ROUNDUP(C7*H7^2/2,0))</f>
        <v>122</v>
      </c>
      <c r="J7" s="8" t="n">
        <f aca="false">TRUE()</f>
        <v>1</v>
      </c>
      <c r="K7" s="9" t="n">
        <f aca="false">IF(J7,I7,0)</f>
        <v>122</v>
      </c>
      <c r="L7" s="9" t="n">
        <f aca="false">IF(OR(C7="",D7=""),"",C7*D7*(D7+1)*(2*D7+1)/6)</f>
        <v>273</v>
      </c>
      <c r="N7" s="3" t="n">
        <f aca="false">+SUM(O7:Z7)</f>
        <v>1626</v>
      </c>
      <c r="O7" s="1" t="n">
        <f aca="false">+IF($D7&gt;O$1-1,($G7+O$1)^2,0)*$C7*IF($F7="Optimization",2,1)</f>
        <v>96</v>
      </c>
      <c r="P7" s="1" t="n">
        <f aca="false">+IF($D7&gt;P$1-1,($G7+P$1)^2,0)*$C7*IF($F7="Optimization",2,1)</f>
        <v>150</v>
      </c>
      <c r="Q7" s="1" t="n">
        <f aca="false">+IF($D7&gt;Q$1-1,($G7+Q$1)^2,0)*$C7*IF($F7="Optimization",2,1)</f>
        <v>216</v>
      </c>
      <c r="R7" s="1" t="n">
        <f aca="false">+IF($D7&gt;R$1-1,($G7+R$1)^2,0)*$C7*IF($F7="Optimization",2,1)</f>
        <v>294</v>
      </c>
      <c r="S7" s="1" t="n">
        <f aca="false">+IF($D7&gt;S$1-1,($G7+S$1)^2,0)*$C7*IF($F7="Optimization",2,1)</f>
        <v>384</v>
      </c>
      <c r="T7" s="1" t="n">
        <f aca="false">+IF($D7&gt;T$1-1,($G7+T$1)^2,0)*$C7*IF($F7="Optimization",2,1)</f>
        <v>486</v>
      </c>
      <c r="U7" s="1" t="n">
        <f aca="false">+IF($D7&gt;U$1-1,($G7+U$1)^2,0)*$C7*IF($F7="Optimization",2,1)</f>
        <v>0</v>
      </c>
      <c r="V7" s="1" t="n">
        <f aca="false">+IF($D7&gt;V$1-1,($G7+V$1)^2,0)*$C7*IF($F7="Optimization",2,1)</f>
        <v>0</v>
      </c>
      <c r="W7" s="1" t="n">
        <f aca="false">+IF($D7&gt;W$1-1,($G7+W$1)^2,0)*$C7*IF($F7="Optimization",2,1)</f>
        <v>0</v>
      </c>
      <c r="X7" s="1" t="n">
        <f aca="false">+IF($D7&gt;X$1-1,($G7+X$1)^2,0)*$C7*IF($F7="Optimization",2,1)</f>
        <v>0</v>
      </c>
      <c r="Y7" s="1" t="n">
        <f aca="false">+IF($D7&gt;Y$1-1,($G7+Y$1)^2,0)*$C7*IF($F7="Optimization",2,1)</f>
        <v>0</v>
      </c>
      <c r="Z7" s="1" t="n">
        <f aca="false">+IF($D7&gt;Z$1-1,($G7+Z$1)^2,0)*$C7*IF($F7="Optimization",2,1)</f>
        <v>0</v>
      </c>
      <c r="AC7" s="1" t="str">
        <f aca="false">CONCATENATE(A7,"- ",F7,"-",E7)</f>
        <v>Defensive- Optimization-DINAB</v>
      </c>
    </row>
    <row r="8" customFormat="false" ht="15" hidden="false" customHeight="false" outlineLevel="0" collapsed="false">
      <c r="A8" s="5" t="s">
        <v>12</v>
      </c>
      <c r="B8" s="5" t="s">
        <v>19</v>
      </c>
      <c r="C8" s="6" t="n">
        <v>3</v>
      </c>
      <c r="D8" s="7" t="n">
        <f aca="false">Muck</f>
        <v>6</v>
      </c>
      <c r="E8" s="8"/>
      <c r="F8" s="8" t="s">
        <v>14</v>
      </c>
      <c r="G8" s="9"/>
      <c r="H8" s="9" t="n">
        <f aca="false">MAX(0,D8+G8)</f>
        <v>6</v>
      </c>
      <c r="I8" s="9" t="n">
        <f aca="false">IF(OR(C8="",H8=""),"",ROUNDUP(C8*H8^2/2,0))</f>
        <v>54</v>
      </c>
      <c r="J8" s="8" t="n">
        <f aca="false">TRUE()</f>
        <v>1</v>
      </c>
      <c r="K8" s="9" t="n">
        <f aca="false">IF(J8,I8,0)</f>
        <v>54</v>
      </c>
      <c r="L8" s="9" t="n">
        <f aca="false">IF(OR(C8="",D8=""),"",C8*D8*(D8+1)*(2*D8+1)/6)</f>
        <v>273</v>
      </c>
      <c r="N8" s="3" t="n">
        <f aca="false">+SUM(O8:Z8)</f>
        <v>546</v>
      </c>
      <c r="O8" s="1" t="n">
        <f aca="false">+IF($D8&gt;O$1-1,($G8+O$1)^2,0)*$C8*IF($F8="Optimization",2,1)</f>
        <v>6</v>
      </c>
      <c r="P8" s="1" t="n">
        <f aca="false">+IF($D8&gt;P$1-1,($G8+P$1)^2,0)*$C8*IF($F8="Optimization",2,1)</f>
        <v>24</v>
      </c>
      <c r="Q8" s="1" t="n">
        <f aca="false">+IF($D8&gt;Q$1-1,($G8+Q$1)^2,0)*$C8*IF($F8="Optimization",2,1)</f>
        <v>54</v>
      </c>
      <c r="R8" s="1" t="n">
        <f aca="false">+IF($D8&gt;R$1-1,($G8+R$1)^2,0)*$C8*IF($F8="Optimization",2,1)</f>
        <v>96</v>
      </c>
      <c r="S8" s="1" t="n">
        <f aca="false">+IF($D8&gt;S$1-1,($G8+S$1)^2,0)*$C8*IF($F8="Optimization",2,1)</f>
        <v>150</v>
      </c>
      <c r="T8" s="1" t="n">
        <f aca="false">+IF($D8&gt;T$1-1,($G8+T$1)^2,0)*$C8*IF($F8="Optimization",2,1)</f>
        <v>216</v>
      </c>
      <c r="U8" s="1" t="n">
        <f aca="false">+IF($D8&gt;U$1-1,($G8+U$1)^2,0)*$C8*IF($F8="Optimization",2,1)</f>
        <v>0</v>
      </c>
      <c r="V8" s="1" t="n">
        <f aca="false">+IF($D8&gt;V$1-1,($G8+V$1)^2,0)*$C8*IF($F8="Optimization",2,1)</f>
        <v>0</v>
      </c>
      <c r="W8" s="1" t="n">
        <f aca="false">+IF($D8&gt;W$1-1,($G8+W$1)^2,0)*$C8*IF($F8="Optimization",2,1)</f>
        <v>0</v>
      </c>
      <c r="X8" s="1" t="n">
        <f aca="false">+IF($D8&gt;X$1-1,($G8+X$1)^2,0)*$C8*IF($F8="Optimization",2,1)</f>
        <v>0</v>
      </c>
      <c r="Y8" s="1" t="n">
        <f aca="false">+IF($D8&gt;Y$1-1,($G8+Y$1)^2,0)*$C8*IF($F8="Optimization",2,1)</f>
        <v>0</v>
      </c>
      <c r="Z8" s="1" t="n">
        <f aca="false">+IF($D8&gt;Z$1-1,($G8+Z$1)^2,0)*$C8*IF($F8="Optimization",2,1)</f>
        <v>0</v>
      </c>
      <c r="AC8" s="1" t="str">
        <f aca="false">CONCATENATE(A8,"- ",F8,"-",E8)</f>
        <v>Defensive- Optimization-</v>
      </c>
    </row>
    <row r="9" customFormat="false" ht="15" hidden="false" customHeight="false" outlineLevel="0" collapsed="false">
      <c r="A9" s="5" t="s">
        <v>12</v>
      </c>
      <c r="B9" s="5" t="s">
        <v>20</v>
      </c>
      <c r="C9" s="6" t="n">
        <v>4</v>
      </c>
      <c r="D9" s="7" t="n">
        <f aca="false">Muck</f>
        <v>6</v>
      </c>
      <c r="E9" s="8"/>
      <c r="F9" s="8" t="s">
        <v>14</v>
      </c>
      <c r="G9" s="9"/>
      <c r="H9" s="9" t="n">
        <f aca="false">MAX(0,D9+G9)</f>
        <v>6</v>
      </c>
      <c r="I9" s="9" t="n">
        <f aca="false">IF(OR(C9="",H9=""),"",ROUNDUP(C9*H9^2/2,0))</f>
        <v>72</v>
      </c>
      <c r="J9" s="8" t="n">
        <f aca="false">TRUE()</f>
        <v>1</v>
      </c>
      <c r="K9" s="9" t="n">
        <f aca="false">IF(J9,I9,0)</f>
        <v>72</v>
      </c>
      <c r="L9" s="9" t="n">
        <f aca="false">IF(OR(C9="",D9=""),"",C9*D9*(D9+1)*(2*D9+1)/6)</f>
        <v>364</v>
      </c>
      <c r="N9" s="3" t="n">
        <f aca="false">+SUM(O9:Z9)</f>
        <v>728</v>
      </c>
      <c r="O9" s="1" t="n">
        <f aca="false">+IF($D9&gt;O$1-1,($G9+O$1)^2,0)*$C9*IF($F9="Optimization",2,1)</f>
        <v>8</v>
      </c>
      <c r="P9" s="1" t="n">
        <f aca="false">+IF($D9&gt;P$1-1,($G9+P$1)^2,0)*$C9*IF($F9="Optimization",2,1)</f>
        <v>32</v>
      </c>
      <c r="Q9" s="1" t="n">
        <f aca="false">+IF($D9&gt;Q$1-1,($G9+Q$1)^2,0)*$C9*IF($F9="Optimization",2,1)</f>
        <v>72</v>
      </c>
      <c r="R9" s="1" t="n">
        <f aca="false">+IF($D9&gt;R$1-1,($G9+R$1)^2,0)*$C9*IF($F9="Optimization",2,1)</f>
        <v>128</v>
      </c>
      <c r="S9" s="1" t="n">
        <f aca="false">+IF($D9&gt;S$1-1,($G9+S$1)^2,0)*$C9*IF($F9="Optimization",2,1)</f>
        <v>200</v>
      </c>
      <c r="T9" s="1" t="n">
        <f aca="false">+IF($D9&gt;T$1-1,($G9+T$1)^2,0)*$C9*IF($F9="Optimization",2,1)</f>
        <v>288</v>
      </c>
      <c r="U9" s="1" t="n">
        <f aca="false">+IF($D9&gt;U$1-1,($G9+U$1)^2,0)*$C9*IF($F9="Optimization",2,1)</f>
        <v>0</v>
      </c>
      <c r="V9" s="1" t="n">
        <f aca="false">+IF($D9&gt;V$1-1,($G9+V$1)^2,0)*$C9*IF($F9="Optimization",2,1)</f>
        <v>0</v>
      </c>
      <c r="W9" s="1" t="n">
        <f aca="false">+IF($D9&gt;W$1-1,($G9+W$1)^2,0)*$C9*IF($F9="Optimization",2,1)</f>
        <v>0</v>
      </c>
      <c r="X9" s="1" t="n">
        <f aca="false">+IF($D9&gt;X$1-1,($G9+X$1)^2,0)*$C9*IF($F9="Optimization",2,1)</f>
        <v>0</v>
      </c>
      <c r="Y9" s="1" t="n">
        <f aca="false">+IF($D9&gt;Y$1-1,($G9+Y$1)^2,0)*$C9*IF($F9="Optimization",2,1)</f>
        <v>0</v>
      </c>
      <c r="Z9" s="1" t="n">
        <f aca="false">+IF($D9&gt;Z$1-1,($G9+Z$1)^2,0)*$C9*IF($F9="Optimization",2,1)</f>
        <v>0</v>
      </c>
      <c r="AC9" s="1" t="str">
        <f aca="false">CONCATENATE(A9,"- ",F9,"-",E9)</f>
        <v>Defensive- Optimization-</v>
      </c>
    </row>
    <row r="10" customFormat="false" ht="15" hidden="false" customHeight="false" outlineLevel="0" collapsed="false">
      <c r="A10" s="5" t="s">
        <v>21</v>
      </c>
      <c r="B10" s="5" t="s">
        <v>22</v>
      </c>
      <c r="C10" s="6" t="n">
        <v>5</v>
      </c>
      <c r="D10" s="7" t="n">
        <f aca="false">Muck</f>
        <v>6</v>
      </c>
      <c r="E10" s="8"/>
      <c r="F10" s="8" t="s">
        <v>14</v>
      </c>
      <c r="G10" s="9"/>
      <c r="H10" s="9" t="n">
        <f aca="false">MAX(0,D10+G10)</f>
        <v>6</v>
      </c>
      <c r="I10" s="9" t="n">
        <f aca="false">IF(OR(C10="",H10=""),"",ROUNDUP(C10*H10^2/2,0))</f>
        <v>90</v>
      </c>
      <c r="J10" s="8" t="n">
        <f aca="false">TRUE()</f>
        <v>1</v>
      </c>
      <c r="K10" s="9" t="n">
        <f aca="false">IF(J10,I10,0)</f>
        <v>90</v>
      </c>
      <c r="L10" s="9" t="n">
        <f aca="false">IF(OR(C10="",D10=""),"",C10*D10*(D10+1)*(2*D10+1)/6)</f>
        <v>455</v>
      </c>
      <c r="N10" s="3" t="n">
        <f aca="false">+SUM(O10:Z10)</f>
        <v>910</v>
      </c>
      <c r="O10" s="1" t="n">
        <f aca="false">+IF($D10&gt;O$1-1,($G10+O$1)^2,0)*$C10*IF($F10="Optimization",2,1)</f>
        <v>10</v>
      </c>
      <c r="P10" s="1" t="n">
        <f aca="false">+IF($D10&gt;P$1-1,($G10+P$1)^2,0)*$C10*IF($F10="Optimization",2,1)</f>
        <v>40</v>
      </c>
      <c r="Q10" s="1" t="n">
        <f aca="false">+IF($D10&gt;Q$1-1,($G10+Q$1)^2,0)*$C10*IF($F10="Optimization",2,1)</f>
        <v>90</v>
      </c>
      <c r="R10" s="1" t="n">
        <f aca="false">+IF($D10&gt;R$1-1,($G10+R$1)^2,0)*$C10*IF($F10="Optimization",2,1)</f>
        <v>160</v>
      </c>
      <c r="S10" s="1" t="n">
        <f aca="false">+IF($D10&gt;S$1-1,($G10+S$1)^2,0)*$C10*IF($F10="Optimization",2,1)</f>
        <v>250</v>
      </c>
      <c r="T10" s="1" t="n">
        <f aca="false">+IF($D10&gt;T$1-1,($G10+T$1)^2,0)*$C10*IF($F10="Optimization",2,1)</f>
        <v>360</v>
      </c>
      <c r="U10" s="1" t="n">
        <f aca="false">+IF($D10&gt;U$1-1,($G10+U$1)^2,0)*$C10*IF($F10="Optimization",2,1)</f>
        <v>0</v>
      </c>
      <c r="V10" s="1" t="n">
        <f aca="false">+IF($D10&gt;V$1-1,($G10+V$1)^2,0)*$C10*IF($F10="Optimization",2,1)</f>
        <v>0</v>
      </c>
      <c r="W10" s="1" t="n">
        <f aca="false">+IF($D10&gt;W$1-1,($G10+W$1)^2,0)*$C10*IF($F10="Optimization",2,1)</f>
        <v>0</v>
      </c>
      <c r="X10" s="1" t="n">
        <f aca="false">+IF($D10&gt;X$1-1,($G10+X$1)^2,0)*$C10*IF($F10="Optimization",2,1)</f>
        <v>0</v>
      </c>
      <c r="Y10" s="1" t="n">
        <f aca="false">+IF($D10&gt;Y$1-1,($G10+Y$1)^2,0)*$C10*IF($F10="Optimization",2,1)</f>
        <v>0</v>
      </c>
      <c r="Z10" s="1" t="n">
        <f aca="false">+IF($D10&gt;Z$1-1,($G10+Z$1)^2,0)*$C10*IF($F10="Optimization",2,1)</f>
        <v>0</v>
      </c>
      <c r="AC10" s="1" t="str">
        <f aca="false">CONCATENATE(A10,"- ",F10,"-",E10)</f>
        <v>Offensive- Optimization-</v>
      </c>
    </row>
    <row r="11" customFormat="false" ht="15" hidden="false" customHeight="false" outlineLevel="0" collapsed="false">
      <c r="A11" s="5" t="s">
        <v>21</v>
      </c>
      <c r="B11" s="5" t="s">
        <v>23</v>
      </c>
      <c r="C11" s="6" t="n">
        <v>2</v>
      </c>
      <c r="D11" s="7"/>
      <c r="E11" s="8"/>
      <c r="F11" s="8" t="s">
        <v>14</v>
      </c>
      <c r="G11" s="9"/>
      <c r="H11" s="9" t="n">
        <f aca="false">MAX(0,D11+G11)</f>
        <v>0</v>
      </c>
      <c r="I11" s="9" t="n">
        <f aca="false">IF(OR(C11="",H11=""),"",ROUNDUP(C11*H11^2/2,0))</f>
        <v>0</v>
      </c>
      <c r="J11" s="8" t="n">
        <f aca="false">TRUE()</f>
        <v>1</v>
      </c>
      <c r="K11" s="9" t="n">
        <f aca="false">IF(J11,I11,0)</f>
        <v>0</v>
      </c>
      <c r="L11" s="9" t="str">
        <f aca="false">IF(OR(C11="",D11=""),"",C11*D11*(D11+1)*(2*D11+1)/6)</f>
        <v/>
      </c>
      <c r="N11" s="3" t="n">
        <f aca="false">+SUM(O11:Z11)</f>
        <v>0</v>
      </c>
      <c r="O11" s="1" t="n">
        <f aca="false">+IF($D11&gt;O$1-1,($G11+O$1)^2,0)*$C11*IF($F11="Optimization",2,1)</f>
        <v>0</v>
      </c>
      <c r="P11" s="1" t="n">
        <f aca="false">+IF($D11&gt;P$1-1,($G11+P$1)^2,0)*$C11*IF($F11="Optimization",2,1)</f>
        <v>0</v>
      </c>
      <c r="Q11" s="1" t="n">
        <f aca="false">+IF($D11&gt;Q$1-1,($G11+Q$1)^2,0)*$C11*IF($F11="Optimization",2,1)</f>
        <v>0</v>
      </c>
      <c r="R11" s="1" t="n">
        <f aca="false">+IF($D11&gt;R$1-1,($G11+R$1)^2,0)*$C11*IF($F11="Optimization",2,1)</f>
        <v>0</v>
      </c>
      <c r="S11" s="1" t="n">
        <f aca="false">+IF($D11&gt;S$1-1,($G11+S$1)^2,0)*$C11*IF($F11="Optimization",2,1)</f>
        <v>0</v>
      </c>
      <c r="T11" s="1" t="n">
        <f aca="false">+IF($D11&gt;T$1-1,($G11+T$1)^2,0)*$C11*IF($F11="Optimization",2,1)</f>
        <v>0</v>
      </c>
      <c r="U11" s="1" t="n">
        <f aca="false">+IF($D11&gt;U$1-1,($G11+U$1)^2,0)*$C11*IF($F11="Optimization",2,1)</f>
        <v>0</v>
      </c>
      <c r="V11" s="1" t="n">
        <f aca="false">+IF($D11&gt;V$1-1,($G11+V$1)^2,0)*$C11*IF($F11="Optimization",2,1)</f>
        <v>0</v>
      </c>
      <c r="W11" s="1" t="n">
        <f aca="false">+IF($D11&gt;W$1-1,($G11+W$1)^2,0)*$C11*IF($F11="Optimization",2,1)</f>
        <v>0</v>
      </c>
      <c r="X11" s="1" t="n">
        <f aca="false">+IF($D11&gt;X$1-1,($G11+X$1)^2,0)*$C11*IF($F11="Optimization",2,1)</f>
        <v>0</v>
      </c>
      <c r="Y11" s="1" t="n">
        <f aca="false">+IF($D11&gt;Y$1-1,($G11+Y$1)^2,0)*$C11*IF($F11="Optimization",2,1)</f>
        <v>0</v>
      </c>
      <c r="Z11" s="1" t="n">
        <f aca="false">+IF($D11&gt;Z$1-1,($G11+Z$1)^2,0)*$C11*IF($F11="Optimization",2,1)</f>
        <v>0</v>
      </c>
      <c r="AC11" s="1" t="str">
        <f aca="false">CONCATENATE(A11,"- ",F11,"-",E11)</f>
        <v>Offensive- Optimization-</v>
      </c>
    </row>
    <row r="12" customFormat="false" ht="15" hidden="false" customHeight="false" outlineLevel="0" collapsed="false">
      <c r="A12" s="5" t="s">
        <v>21</v>
      </c>
      <c r="B12" s="5" t="s">
        <v>24</v>
      </c>
      <c r="C12" s="6" t="n">
        <v>3</v>
      </c>
      <c r="D12" s="7"/>
      <c r="E12" s="8"/>
      <c r="F12" s="8" t="s">
        <v>14</v>
      </c>
      <c r="G12" s="9"/>
      <c r="H12" s="9" t="n">
        <f aca="false">MAX(0,D12+G12)</f>
        <v>0</v>
      </c>
      <c r="I12" s="9" t="n">
        <f aca="false">IF(OR(C12="",H12=""),"",ROUNDUP(C12*H12^2/2,0))</f>
        <v>0</v>
      </c>
      <c r="J12" s="8" t="n">
        <f aca="false">TRUE()</f>
        <v>1</v>
      </c>
      <c r="K12" s="9" t="n">
        <f aca="false">IF(J12,I12,0)</f>
        <v>0</v>
      </c>
      <c r="L12" s="9" t="str">
        <f aca="false">IF(OR(C12="",D12=""),"",C12*D12*(D12+1)*(2*D12+1)/6)</f>
        <v/>
      </c>
      <c r="N12" s="3" t="n">
        <f aca="false">+SUM(O12:Z12)</f>
        <v>0</v>
      </c>
      <c r="O12" s="1" t="n">
        <f aca="false">+IF($D12&gt;O$1-1,($G12+O$1)^2,0)*$C12*IF($F12="Optimization",2,1)</f>
        <v>0</v>
      </c>
      <c r="P12" s="1" t="n">
        <f aca="false">+IF($D12&gt;P$1-1,($G12+P$1)^2,0)*$C12*IF($F12="Optimization",2,1)</f>
        <v>0</v>
      </c>
      <c r="Q12" s="1" t="n">
        <f aca="false">+IF($D12&gt;Q$1-1,($G12+Q$1)^2,0)*$C12*IF($F12="Optimization",2,1)</f>
        <v>0</v>
      </c>
      <c r="R12" s="1" t="n">
        <f aca="false">+IF($D12&gt;R$1-1,($G12+R$1)^2,0)*$C12*IF($F12="Optimization",2,1)</f>
        <v>0</v>
      </c>
      <c r="S12" s="1" t="n">
        <f aca="false">+IF($D12&gt;S$1-1,($G12+S$1)^2,0)*$C12*IF($F12="Optimization",2,1)</f>
        <v>0</v>
      </c>
      <c r="T12" s="1" t="n">
        <f aca="false">+IF($D12&gt;T$1-1,($G12+T$1)^2,0)*$C12*IF($F12="Optimization",2,1)</f>
        <v>0</v>
      </c>
      <c r="U12" s="1" t="n">
        <f aca="false">+IF($D12&gt;U$1-1,($G12+U$1)^2,0)*$C12*IF($F12="Optimization",2,1)</f>
        <v>0</v>
      </c>
      <c r="V12" s="1" t="n">
        <f aca="false">+IF($D12&gt;V$1-1,($G12+V$1)^2,0)*$C12*IF($F12="Optimization",2,1)</f>
        <v>0</v>
      </c>
      <c r="W12" s="1" t="n">
        <f aca="false">+IF($D12&gt;W$1-1,($G12+W$1)^2,0)*$C12*IF($F12="Optimization",2,1)</f>
        <v>0</v>
      </c>
      <c r="X12" s="1" t="n">
        <f aca="false">+IF($D12&gt;X$1-1,($G12+X$1)^2,0)*$C12*IF($F12="Optimization",2,1)</f>
        <v>0</v>
      </c>
      <c r="Y12" s="1" t="n">
        <f aca="false">+IF($D12&gt;Y$1-1,($G12+Y$1)^2,0)*$C12*IF($F12="Optimization",2,1)</f>
        <v>0</v>
      </c>
      <c r="Z12" s="1" t="n">
        <f aca="false">+IF($D12&gt;Z$1-1,($G12+Z$1)^2,0)*$C12*IF($F12="Optimization",2,1)</f>
        <v>0</v>
      </c>
      <c r="AC12" s="1" t="str">
        <f aca="false">CONCATENATE(A12,"- ",F12,"-",E12)</f>
        <v>Offensive- Optimization-</v>
      </c>
    </row>
    <row r="13" customFormat="false" ht="15" hidden="false" customHeight="false" outlineLevel="0" collapsed="false">
      <c r="A13" s="5" t="s">
        <v>21</v>
      </c>
      <c r="B13" s="5" t="s">
        <v>25</v>
      </c>
      <c r="C13" s="6" t="n">
        <v>4</v>
      </c>
      <c r="D13" s="7" t="n">
        <f aca="false">Muck</f>
        <v>6</v>
      </c>
      <c r="E13" s="8" t="s">
        <v>26</v>
      </c>
      <c r="F13" s="8" t="s">
        <v>14</v>
      </c>
      <c r="G13" s="9" t="n">
        <f aca="false">IF(E13="",0,IF(E13="Adaptive",2,IF(E13="Area",N(F13),IF(E13="Chaser",1,IF(E13="Crashguard",N(F13),IF(E13="DINAB",ROUNDUP(N(F13)/2,0),IF(E13="Limit",-1,IF(E13="Noise",-N(F13),IF(E13="Penetration",1,IF(E13="Selective",1,IF(E13="Sneak",2*N(F13),IF(E13="Squeeze",1,IF(E13="Stealth",N(F13),IF(E13="Targeting",2,IF(E13="Armor",2,IF(E13="Cascading IC",3,IF(E13="Expert Defense",1,IF(E13="Expert Offense",1,IF(E13="Party Cluster",3,IF(E13="Shield",2,IF(E13="Shift",2,IF(E13="Trap",N(F13),IF(E13="Self-Coder",N(F13),0)))))))))))))))))))))))</f>
        <v>2</v>
      </c>
      <c r="H13" s="9" t="n">
        <f aca="false">MAX(0,D13+G13)</f>
        <v>8</v>
      </c>
      <c r="I13" s="9" t="n">
        <f aca="false">IF(OR(C13="",H13=""),"",ROUNDUP(C13*H13^2/2,0))</f>
        <v>128</v>
      </c>
      <c r="J13" s="8" t="n">
        <f aca="false">TRUE()</f>
        <v>1</v>
      </c>
      <c r="K13" s="9" t="n">
        <f aca="false">IF(J13,I13,0)</f>
        <v>128</v>
      </c>
      <c r="L13" s="9" t="n">
        <f aca="false">IF(OR(C13="",D13=""),"",C13*D13*(D13+1)*(2*D13+1)/6)</f>
        <v>364</v>
      </c>
      <c r="N13" s="3" t="n">
        <f aca="false">+SUM(O13:Z13)</f>
        <v>1592</v>
      </c>
      <c r="O13" s="1" t="n">
        <f aca="false">+IF($D13&gt;O$1-1,($G13+O$1)^2,0)*$C13*IF($F13="Optimization",2,1)</f>
        <v>72</v>
      </c>
      <c r="P13" s="1" t="n">
        <f aca="false">+IF($D13&gt;P$1-1,($G13+P$1)^2,0)*$C13*IF($F13="Optimization",2,1)</f>
        <v>128</v>
      </c>
      <c r="Q13" s="1" t="n">
        <f aca="false">+IF($D13&gt;Q$1-1,($G13+Q$1)^2,0)*$C13*IF($F13="Optimization",2,1)</f>
        <v>200</v>
      </c>
      <c r="R13" s="1" t="n">
        <f aca="false">+IF($D13&gt;R$1-1,($G13+R$1)^2,0)*$C13*IF($F13="Optimization",2,1)</f>
        <v>288</v>
      </c>
      <c r="S13" s="1" t="n">
        <f aca="false">+IF($D13&gt;S$1-1,($G13+S$1)^2,0)*$C13*IF($F13="Optimization",2,1)</f>
        <v>392</v>
      </c>
      <c r="T13" s="1" t="n">
        <f aca="false">+IF($D13&gt;T$1-1,($G13+T$1)^2,0)*$C13*IF($F13="Optimization",2,1)</f>
        <v>512</v>
      </c>
      <c r="U13" s="1" t="n">
        <f aca="false">+IF($D13&gt;U$1-1,($G13+U$1)^2,0)*$C13*IF($F13="Optimization",2,1)</f>
        <v>0</v>
      </c>
      <c r="V13" s="1" t="n">
        <f aca="false">+IF($D13&gt;V$1-1,($G13+V$1)^2,0)*$C13*IF($F13="Optimization",2,1)</f>
        <v>0</v>
      </c>
      <c r="W13" s="1" t="n">
        <f aca="false">+IF($D13&gt;W$1-1,($G13+W$1)^2,0)*$C13*IF($F13="Optimization",2,1)</f>
        <v>0</v>
      </c>
      <c r="X13" s="1" t="n">
        <f aca="false">+IF($D13&gt;X$1-1,($G13+X$1)^2,0)*$C13*IF($F13="Optimization",2,1)</f>
        <v>0</v>
      </c>
      <c r="Y13" s="1" t="n">
        <f aca="false">+IF($D13&gt;Y$1-1,($G13+Y$1)^2,0)*$C13*IF($F13="Optimization",2,1)</f>
        <v>0</v>
      </c>
      <c r="Z13" s="1" t="n">
        <f aca="false">+IF($D13&gt;Z$1-1,($G13+Z$1)^2,0)*$C13*IF($F13="Optimization",2,1)</f>
        <v>0</v>
      </c>
      <c r="AC13" s="1" t="str">
        <f aca="false">CONCATENATE(A13,"- ",F13,"-",E13)</f>
        <v>Offensive- Optimization-Targeting</v>
      </c>
    </row>
    <row r="14" customFormat="false" ht="15" hidden="false" customHeight="false" outlineLevel="0" collapsed="false">
      <c r="A14" s="5" t="s">
        <v>21</v>
      </c>
      <c r="B14" s="5" t="s">
        <v>25</v>
      </c>
      <c r="C14" s="6" t="n">
        <v>4</v>
      </c>
      <c r="D14" s="7" t="n">
        <f aca="false">Muck</f>
        <v>6</v>
      </c>
      <c r="E14" s="8"/>
      <c r="F14" s="8" t="s">
        <v>14</v>
      </c>
      <c r="G14" s="9"/>
      <c r="H14" s="9" t="n">
        <f aca="false">MAX(0,D14+G14)</f>
        <v>6</v>
      </c>
      <c r="I14" s="9" t="n">
        <f aca="false">IF(OR(C14="",H14=""),"",ROUNDUP(C14*H14^2/2,0))</f>
        <v>72</v>
      </c>
      <c r="J14" s="8" t="n">
        <f aca="false">TRUE()</f>
        <v>1</v>
      </c>
      <c r="K14" s="9" t="n">
        <f aca="false">IF(J14,I14,0)</f>
        <v>72</v>
      </c>
      <c r="L14" s="9" t="n">
        <f aca="false">IF(OR(C14="",D14=""),"",C14*D14*(D14+1)*(2*D14+1)/6)</f>
        <v>364</v>
      </c>
      <c r="N14" s="3" t="n">
        <f aca="false">+SUM(O14:Z14)</f>
        <v>728</v>
      </c>
      <c r="O14" s="1" t="n">
        <f aca="false">+IF($D14&gt;O$1-1,($G14+O$1)^2,0)*$C14*IF($F14="Optimization",2,1)</f>
        <v>8</v>
      </c>
      <c r="P14" s="1" t="n">
        <f aca="false">+IF($D14&gt;P$1-1,($G14+P$1)^2,0)*$C14*IF($F14="Optimization",2,1)</f>
        <v>32</v>
      </c>
      <c r="Q14" s="1" t="n">
        <f aca="false">+IF($D14&gt;Q$1-1,($G14+Q$1)^2,0)*$C14*IF($F14="Optimization",2,1)</f>
        <v>72</v>
      </c>
      <c r="R14" s="1" t="n">
        <f aca="false">+IF($D14&gt;R$1-1,($G14+R$1)^2,0)*$C14*IF($F14="Optimization",2,1)</f>
        <v>128</v>
      </c>
      <c r="S14" s="1" t="n">
        <f aca="false">+IF($D14&gt;S$1-1,($G14+S$1)^2,0)*$C14*IF($F14="Optimization",2,1)</f>
        <v>200</v>
      </c>
      <c r="T14" s="1" t="n">
        <f aca="false">+IF($D14&gt;T$1-1,($G14+T$1)^2,0)*$C14*IF($F14="Optimization",2,1)</f>
        <v>288</v>
      </c>
      <c r="U14" s="1" t="n">
        <f aca="false">+IF($D14&gt;U$1-1,($G14+U$1)^2,0)*$C14*IF($F14="Optimization",2,1)</f>
        <v>0</v>
      </c>
      <c r="V14" s="1" t="n">
        <f aca="false">+IF($D14&gt;V$1-1,($G14+V$1)^2,0)*$C14*IF($F14="Optimization",2,1)</f>
        <v>0</v>
      </c>
      <c r="W14" s="1" t="n">
        <f aca="false">+IF($D14&gt;W$1-1,($G14+W$1)^2,0)*$C14*IF($F14="Optimization",2,1)</f>
        <v>0</v>
      </c>
      <c r="X14" s="1" t="n">
        <f aca="false">+IF($D14&gt;X$1-1,($G14+X$1)^2,0)*$C14*IF($F14="Optimization",2,1)</f>
        <v>0</v>
      </c>
      <c r="Y14" s="1" t="n">
        <f aca="false">+IF($D14&gt;Y$1-1,($G14+Y$1)^2,0)*$C14*IF($F14="Optimization",2,1)</f>
        <v>0</v>
      </c>
      <c r="Z14" s="1" t="n">
        <f aca="false">+IF($D14&gt;Z$1-1,($G14+Z$1)^2,0)*$C14*IF($F14="Optimization",2,1)</f>
        <v>0</v>
      </c>
      <c r="AC14" s="1" t="str">
        <f aca="false">CONCATENATE(A14,"- ",F14,"-",E14)</f>
        <v>Offensive- Optimization-</v>
      </c>
    </row>
    <row r="15" customFormat="false" ht="15" hidden="false" customHeight="false" outlineLevel="0" collapsed="false">
      <c r="A15" s="5" t="s">
        <v>21</v>
      </c>
      <c r="B15" s="5" t="s">
        <v>27</v>
      </c>
      <c r="C15" s="6" t="n">
        <v>20</v>
      </c>
      <c r="D15" s="7"/>
      <c r="E15" s="8"/>
      <c r="F15" s="8" t="s">
        <v>14</v>
      </c>
      <c r="G15" s="9"/>
      <c r="H15" s="9" t="n">
        <f aca="false">MAX(0,D15+G15)</f>
        <v>0</v>
      </c>
      <c r="I15" s="9" t="n">
        <f aca="false">IF(OR(C15="",H15=""),"",ROUNDUP(C15*H15^2/2,0))</f>
        <v>0</v>
      </c>
      <c r="J15" s="8" t="n">
        <f aca="false">TRUE()</f>
        <v>1</v>
      </c>
      <c r="K15" s="9" t="n">
        <f aca="false">IF(J15,I15,0)</f>
        <v>0</v>
      </c>
      <c r="L15" s="9" t="str">
        <f aca="false">IF(OR(C15="",D15=""),"",C15*D15*(D15+1)*(2*D15+1)/6)</f>
        <v/>
      </c>
      <c r="N15" s="3" t="n">
        <f aca="false">+SUM(O15:Z15)</f>
        <v>0</v>
      </c>
      <c r="O15" s="1" t="n">
        <f aca="false">+IF($D15&gt;O$1-1,($G15+O$1)^2,0)*$C15*IF($F15="Optimization",2,1)</f>
        <v>0</v>
      </c>
      <c r="P15" s="1" t="n">
        <f aca="false">+IF($D15&gt;P$1-1,($G15+P$1)^2,0)*$C15*IF($F15="Optimization",2,1)</f>
        <v>0</v>
      </c>
      <c r="Q15" s="1" t="n">
        <f aca="false">+IF($D15&gt;Q$1-1,($G15+Q$1)^2,0)*$C15*IF($F15="Optimization",2,1)</f>
        <v>0</v>
      </c>
      <c r="R15" s="1" t="n">
        <f aca="false">+IF($D15&gt;R$1-1,($G15+R$1)^2,0)*$C15*IF($F15="Optimization",2,1)</f>
        <v>0</v>
      </c>
      <c r="S15" s="1" t="n">
        <f aca="false">+IF($D15&gt;S$1-1,($G15+S$1)^2,0)*$C15*IF($F15="Optimization",2,1)</f>
        <v>0</v>
      </c>
      <c r="T15" s="1" t="n">
        <f aca="false">+IF($D15&gt;T$1-1,($G15+T$1)^2,0)*$C15*IF($F15="Optimization",2,1)</f>
        <v>0</v>
      </c>
      <c r="U15" s="1" t="n">
        <f aca="false">+IF($D15&gt;U$1-1,($G15+U$1)^2,0)*$C15*IF($F15="Optimization",2,1)</f>
        <v>0</v>
      </c>
      <c r="V15" s="1" t="n">
        <f aca="false">+IF($D15&gt;V$1-1,($G15+V$1)^2,0)*$C15*IF($F15="Optimization",2,1)</f>
        <v>0</v>
      </c>
      <c r="W15" s="1" t="n">
        <f aca="false">+IF($D15&gt;W$1-1,($G15+W$1)^2,0)*$C15*IF($F15="Optimization",2,1)</f>
        <v>0</v>
      </c>
      <c r="X15" s="1" t="n">
        <f aca="false">+IF($D15&gt;X$1-1,($G15+X$1)^2,0)*$C15*IF($F15="Optimization",2,1)</f>
        <v>0</v>
      </c>
      <c r="Y15" s="1" t="n">
        <f aca="false">+IF($D15&gt;Y$1-1,($G15+Y$1)^2,0)*$C15*IF($F15="Optimization",2,1)</f>
        <v>0</v>
      </c>
      <c r="Z15" s="1" t="n">
        <f aca="false">+IF($D15&gt;Z$1-1,($G15+Z$1)^2,0)*$C15*IF($F15="Optimization",2,1)</f>
        <v>0</v>
      </c>
      <c r="AC15" s="1" t="str">
        <f aca="false">CONCATENATE(A15,"- ",F15,"-",E15)</f>
        <v>Offensive- Optimization-</v>
      </c>
    </row>
    <row r="16" customFormat="false" ht="15" hidden="false" customHeight="false" outlineLevel="0" collapsed="false">
      <c r="A16" s="5" t="s">
        <v>21</v>
      </c>
      <c r="B16" s="5" t="s">
        <v>28</v>
      </c>
      <c r="C16" s="6" t="n">
        <v>3</v>
      </c>
      <c r="D16" s="7"/>
      <c r="E16" s="8"/>
      <c r="F16" s="8" t="s">
        <v>14</v>
      </c>
      <c r="G16" s="9"/>
      <c r="H16" s="9" t="n">
        <f aca="false">MAX(0,D16+G16)</f>
        <v>0</v>
      </c>
      <c r="I16" s="9" t="n">
        <f aca="false">IF(OR(C16="",H16=""),"",ROUNDUP(C16*H16^2/2,0))</f>
        <v>0</v>
      </c>
      <c r="J16" s="8" t="n">
        <f aca="false">TRUE()</f>
        <v>1</v>
      </c>
      <c r="K16" s="9" t="n">
        <f aca="false">IF(J16,I16,0)</f>
        <v>0</v>
      </c>
      <c r="L16" s="9" t="str">
        <f aca="false">IF(OR(C16="",D16=""),"",C16*D16*(D16+1)*(2*D16+1)/6)</f>
        <v/>
      </c>
      <c r="N16" s="3" t="n">
        <f aca="false">+SUM(O16:Z16)</f>
        <v>0</v>
      </c>
      <c r="O16" s="1" t="n">
        <f aca="false">+IF($D16&gt;O$1-1,($G16+O$1)^2,0)*$C16*IF($F16="Optimization",2,1)</f>
        <v>0</v>
      </c>
      <c r="P16" s="1" t="n">
        <f aca="false">+IF($D16&gt;P$1-1,($G16+P$1)^2,0)*$C16*IF($F16="Optimization",2,1)</f>
        <v>0</v>
      </c>
      <c r="Q16" s="1" t="n">
        <f aca="false">+IF($D16&gt;Q$1-1,($G16+Q$1)^2,0)*$C16*IF($F16="Optimization",2,1)</f>
        <v>0</v>
      </c>
      <c r="R16" s="1" t="n">
        <f aca="false">+IF($D16&gt;R$1-1,($G16+R$1)^2,0)*$C16*IF($F16="Optimization",2,1)</f>
        <v>0</v>
      </c>
      <c r="S16" s="1" t="n">
        <f aca="false">+IF($D16&gt;S$1-1,($G16+S$1)^2,0)*$C16*IF($F16="Optimization",2,1)</f>
        <v>0</v>
      </c>
      <c r="T16" s="1" t="n">
        <f aca="false">+IF($D16&gt;T$1-1,($G16+T$1)^2,0)*$C16*IF($F16="Optimization",2,1)</f>
        <v>0</v>
      </c>
      <c r="U16" s="1" t="n">
        <f aca="false">+IF($D16&gt;U$1-1,($G16+U$1)^2,0)*$C16*IF($F16="Optimization",2,1)</f>
        <v>0</v>
      </c>
      <c r="V16" s="1" t="n">
        <f aca="false">+IF($D16&gt;V$1-1,($G16+V$1)^2,0)*$C16*IF($F16="Optimization",2,1)</f>
        <v>0</v>
      </c>
      <c r="W16" s="1" t="n">
        <f aca="false">+IF($D16&gt;W$1-1,($G16+W$1)^2,0)*$C16*IF($F16="Optimization",2,1)</f>
        <v>0</v>
      </c>
      <c r="X16" s="1" t="n">
        <f aca="false">+IF($D16&gt;X$1-1,($G16+X$1)^2,0)*$C16*IF($F16="Optimization",2,1)</f>
        <v>0</v>
      </c>
      <c r="Y16" s="1" t="n">
        <f aca="false">+IF($D16&gt;Y$1-1,($G16+Y$1)^2,0)*$C16*IF($F16="Optimization",2,1)</f>
        <v>0</v>
      </c>
      <c r="Z16" s="1" t="n">
        <f aca="false">+IF($D16&gt;Z$1-1,($G16+Z$1)^2,0)*$C16*IF($F16="Optimization",2,1)</f>
        <v>0</v>
      </c>
      <c r="AC16" s="1" t="str">
        <f aca="false">CONCATENATE(A16,"- ",F16,"-",E16)</f>
        <v>Offensive- Optimization-</v>
      </c>
    </row>
    <row r="17" customFormat="false" ht="15" hidden="false" customHeight="false" outlineLevel="0" collapsed="false">
      <c r="A17" s="5" t="s">
        <v>21</v>
      </c>
      <c r="B17" s="5" t="s">
        <v>29</v>
      </c>
      <c r="C17" s="6" t="n">
        <v>3</v>
      </c>
      <c r="D17" s="7" t="n">
        <f aca="false">Muck</f>
        <v>6</v>
      </c>
      <c r="E17" s="8" t="s">
        <v>26</v>
      </c>
      <c r="F17" s="8" t="s">
        <v>14</v>
      </c>
      <c r="G17" s="9" t="n">
        <f aca="false">IF(E17="",0,IF(E17="Adaptive",2,IF(E17="Area",N(F17),IF(E17="Chaser",1,IF(E17="Crashguard",N(F17),IF(E17="DINAB",ROUNDUP(N(F17)/2,0),IF(E17="Limit",-1,IF(E17="Noise",-N(F17),IF(E17="Penetration",1,IF(E17="Selective",1,IF(E17="Sneak",2*N(F17),IF(E17="Squeeze",1,IF(E17="Stealth",N(F17),IF(E17="Targeting",2,IF(E17="Armor",2,IF(E17="Cascading IC",3,IF(E17="Expert Defense",1,IF(E17="Expert Offense",1,IF(E17="Party Cluster",3,IF(E17="Shield",2,IF(E17="Shift",2,IF(E17="Trap",N(F17),IF(E17="Self-Coder",N(F17),0)))))))))))))))))))))))</f>
        <v>2</v>
      </c>
      <c r="H17" s="9" t="n">
        <f aca="false">MAX(0,D17+G17)</f>
        <v>8</v>
      </c>
      <c r="I17" s="9" t="n">
        <f aca="false">IF(OR(C17="",H17=""),"",ROUNDUP(C17*H17^2/2,0))</f>
        <v>96</v>
      </c>
      <c r="J17" s="8" t="n">
        <f aca="false">TRUE()</f>
        <v>1</v>
      </c>
      <c r="K17" s="9" t="n">
        <f aca="false">IF(J17,I17,0)</f>
        <v>96</v>
      </c>
      <c r="L17" s="9" t="n">
        <f aca="false">IF(OR(C17="",D17=""),"",C17*D17*(D17+1)*(2*D17+1)/6)</f>
        <v>273</v>
      </c>
      <c r="N17" s="3" t="n">
        <f aca="false">+SUM(O17:Z17)</f>
        <v>1194</v>
      </c>
      <c r="O17" s="1" t="n">
        <f aca="false">+IF($D17&gt;O$1-1,($G17+O$1)^2,0)*$C17*IF($F17="Optimization",2,1)</f>
        <v>54</v>
      </c>
      <c r="P17" s="1" t="n">
        <f aca="false">+IF($D17&gt;P$1-1,($G17+P$1)^2,0)*$C17*IF($F17="Optimization",2,1)</f>
        <v>96</v>
      </c>
      <c r="Q17" s="1" t="n">
        <f aca="false">+IF($D17&gt;Q$1-1,($G17+Q$1)^2,0)*$C17*IF($F17="Optimization",2,1)</f>
        <v>150</v>
      </c>
      <c r="R17" s="1" t="n">
        <f aca="false">+IF($D17&gt;R$1-1,($G17+R$1)^2,0)*$C17*IF($F17="Optimization",2,1)</f>
        <v>216</v>
      </c>
      <c r="S17" s="1" t="n">
        <f aca="false">+IF($D17&gt;S$1-1,($G17+S$1)^2,0)*$C17*IF($F17="Optimization",2,1)</f>
        <v>294</v>
      </c>
      <c r="T17" s="1" t="n">
        <f aca="false">+IF($D17&gt;T$1-1,($G17+T$1)^2,0)*$C17*IF($F17="Optimization",2,1)</f>
        <v>384</v>
      </c>
      <c r="U17" s="1" t="n">
        <f aca="false">+IF($D17&gt;U$1-1,($G17+U$1)^2,0)*$C17*IF($F17="Optimization",2,1)</f>
        <v>0</v>
      </c>
      <c r="V17" s="1" t="n">
        <f aca="false">+IF($D17&gt;V$1-1,($G17+V$1)^2,0)*$C17*IF($F17="Optimization",2,1)</f>
        <v>0</v>
      </c>
      <c r="W17" s="1" t="n">
        <f aca="false">+IF($D17&gt;W$1-1,($G17+W$1)^2,0)*$C17*IF($F17="Optimization",2,1)</f>
        <v>0</v>
      </c>
      <c r="X17" s="1" t="n">
        <f aca="false">+IF($D17&gt;X$1-1,($G17+X$1)^2,0)*$C17*IF($F17="Optimization",2,1)</f>
        <v>0</v>
      </c>
      <c r="Y17" s="1" t="n">
        <f aca="false">+IF($D17&gt;Y$1-1,($G17+Y$1)^2,0)*$C17*IF($F17="Optimization",2,1)</f>
        <v>0</v>
      </c>
      <c r="Z17" s="1" t="n">
        <f aca="false">+IF($D17&gt;Z$1-1,($G17+Z$1)^2,0)*$C17*IF($F17="Optimization",2,1)</f>
        <v>0</v>
      </c>
      <c r="AC17" s="1" t="str">
        <f aca="false">CONCATENATE(A17,"- ",F17,"-",E17)</f>
        <v>Offensive- Optimization-Targeting</v>
      </c>
    </row>
    <row r="18" customFormat="false" ht="15" hidden="false" customHeight="false" outlineLevel="0" collapsed="false">
      <c r="A18" s="5" t="s">
        <v>21</v>
      </c>
      <c r="B18" s="5" t="s">
        <v>29</v>
      </c>
      <c r="C18" s="6" t="n">
        <v>3</v>
      </c>
      <c r="D18" s="7" t="n">
        <f aca="false">Muck</f>
        <v>6</v>
      </c>
      <c r="E18" s="8"/>
      <c r="F18" s="8" t="s">
        <v>14</v>
      </c>
      <c r="G18" s="9"/>
      <c r="H18" s="9" t="n">
        <f aca="false">MAX(0,D18+G18)</f>
        <v>6</v>
      </c>
      <c r="I18" s="9" t="n">
        <f aca="false">IF(OR(C18="",H18=""),"",ROUNDUP(C18*H18^2/2,0))</f>
        <v>54</v>
      </c>
      <c r="J18" s="8" t="n">
        <f aca="false">TRUE()</f>
        <v>1</v>
      </c>
      <c r="K18" s="9" t="n">
        <f aca="false">IF(J18,I18,0)</f>
        <v>54</v>
      </c>
      <c r="L18" s="9" t="n">
        <f aca="false">IF(OR(C18="",D18=""),"",C18*D18*(D18+1)*(2*D18+1)/6)</f>
        <v>273</v>
      </c>
      <c r="N18" s="3" t="n">
        <f aca="false">+SUM(O18:Z18)</f>
        <v>546</v>
      </c>
      <c r="O18" s="1" t="n">
        <f aca="false">+IF($D18&gt;O$1-1,($G18+O$1)^2,0)*$C18*IF($F18="Optimization",2,1)</f>
        <v>6</v>
      </c>
      <c r="P18" s="1" t="n">
        <f aca="false">+IF($D18&gt;P$1-1,($G18+P$1)^2,0)*$C18*IF($F18="Optimization",2,1)</f>
        <v>24</v>
      </c>
      <c r="Q18" s="1" t="n">
        <f aca="false">+IF($D18&gt;Q$1-1,($G18+Q$1)^2,0)*$C18*IF($F18="Optimization",2,1)</f>
        <v>54</v>
      </c>
      <c r="R18" s="1" t="n">
        <f aca="false">+IF($D18&gt;R$1-1,($G18+R$1)^2,0)*$C18*IF($F18="Optimization",2,1)</f>
        <v>96</v>
      </c>
      <c r="S18" s="1" t="n">
        <f aca="false">+IF($D18&gt;S$1-1,($G18+S$1)^2,0)*$C18*IF($F18="Optimization",2,1)</f>
        <v>150</v>
      </c>
      <c r="T18" s="1" t="n">
        <f aca="false">+IF($D18&gt;T$1-1,($G18+T$1)^2,0)*$C18*IF($F18="Optimization",2,1)</f>
        <v>216</v>
      </c>
      <c r="U18" s="1" t="n">
        <f aca="false">+IF($D18&gt;U$1-1,($G18+U$1)^2,0)*$C18*IF($F18="Optimization",2,1)</f>
        <v>0</v>
      </c>
      <c r="V18" s="1" t="n">
        <f aca="false">+IF($D18&gt;V$1-1,($G18+V$1)^2,0)*$C18*IF($F18="Optimization",2,1)</f>
        <v>0</v>
      </c>
      <c r="W18" s="1" t="n">
        <f aca="false">+IF($D18&gt;W$1-1,($G18+W$1)^2,0)*$C18*IF($F18="Optimization",2,1)</f>
        <v>0</v>
      </c>
      <c r="X18" s="1" t="n">
        <f aca="false">+IF($D18&gt;X$1-1,($G18+X$1)^2,0)*$C18*IF($F18="Optimization",2,1)</f>
        <v>0</v>
      </c>
      <c r="Y18" s="1" t="n">
        <f aca="false">+IF($D18&gt;Y$1-1,($G18+Y$1)^2,0)*$C18*IF($F18="Optimization",2,1)</f>
        <v>0</v>
      </c>
      <c r="Z18" s="1" t="n">
        <f aca="false">+IF($D18&gt;Z$1-1,($G18+Z$1)^2,0)*$C18*IF($F18="Optimization",2,1)</f>
        <v>0</v>
      </c>
      <c r="AC18" s="1" t="str">
        <f aca="false">CONCATENATE(A18,"- ",F18,"-",E18)</f>
        <v>Offensive- Optimization-</v>
      </c>
    </row>
    <row r="19" customFormat="false" ht="15" hidden="false" customHeight="false" outlineLevel="0" collapsed="false">
      <c r="A19" s="5" t="s">
        <v>21</v>
      </c>
      <c r="B19" s="5" t="s">
        <v>30</v>
      </c>
      <c r="C19" s="6" t="n">
        <v>10</v>
      </c>
      <c r="D19" s="7" t="n">
        <f aca="false">Muck</f>
        <v>6</v>
      </c>
      <c r="E19" s="8"/>
      <c r="F19" s="8" t="s">
        <v>14</v>
      </c>
      <c r="G19" s="9"/>
      <c r="H19" s="9" t="n">
        <f aca="false">MAX(0,D19+G19)</f>
        <v>6</v>
      </c>
      <c r="I19" s="9" t="n">
        <f aca="false">IF(OR(C19="",H19=""),"",ROUNDUP(C19*H19^2/2,0))</f>
        <v>180</v>
      </c>
      <c r="J19" s="8" t="n">
        <f aca="false">TRUE()</f>
        <v>1</v>
      </c>
      <c r="K19" s="9" t="n">
        <f aca="false">IF(J19,I19,0)</f>
        <v>180</v>
      </c>
      <c r="L19" s="9" t="n">
        <f aca="false">IF(OR(C19="",D19=""),"",C19*D19*(D19+1)*(2*D19+1)/6)</f>
        <v>910</v>
      </c>
      <c r="N19" s="3" t="n">
        <f aca="false">+SUM(O19:Z19)</f>
        <v>1820</v>
      </c>
      <c r="O19" s="1" t="n">
        <f aca="false">+IF($D19&gt;O$1-1,($G19+O$1)^2,0)*$C19*IF($F19="Optimization",2,1)</f>
        <v>20</v>
      </c>
      <c r="P19" s="1" t="n">
        <f aca="false">+IF($D19&gt;P$1-1,($G19+P$1)^2,0)*$C19*IF($F19="Optimization",2,1)</f>
        <v>80</v>
      </c>
      <c r="Q19" s="1" t="n">
        <f aca="false">+IF($D19&gt;Q$1-1,($G19+Q$1)^2,0)*$C19*IF($F19="Optimization",2,1)</f>
        <v>180</v>
      </c>
      <c r="R19" s="1" t="n">
        <f aca="false">+IF($D19&gt;R$1-1,($G19+R$1)^2,0)*$C19*IF($F19="Optimization",2,1)</f>
        <v>320</v>
      </c>
      <c r="S19" s="1" t="n">
        <f aca="false">+IF($D19&gt;S$1-1,($G19+S$1)^2,0)*$C19*IF($F19="Optimization",2,1)</f>
        <v>500</v>
      </c>
      <c r="T19" s="1" t="n">
        <f aca="false">+IF($D19&gt;T$1-1,($G19+T$1)^2,0)*$C19*IF($F19="Optimization",2,1)</f>
        <v>720</v>
      </c>
      <c r="U19" s="1" t="n">
        <f aca="false">+IF($D19&gt;U$1-1,($G19+U$1)^2,0)*$C19*IF($F19="Optimization",2,1)</f>
        <v>0</v>
      </c>
      <c r="V19" s="1" t="n">
        <f aca="false">+IF($D19&gt;V$1-1,($G19+V$1)^2,0)*$C19*IF($F19="Optimization",2,1)</f>
        <v>0</v>
      </c>
      <c r="W19" s="1" t="n">
        <f aca="false">+IF($D19&gt;W$1-1,($G19+W$1)^2,0)*$C19*IF($F19="Optimization",2,1)</f>
        <v>0</v>
      </c>
      <c r="X19" s="1" t="n">
        <f aca="false">+IF($D19&gt;X$1-1,($G19+X$1)^2,0)*$C19*IF($F19="Optimization",2,1)</f>
        <v>0</v>
      </c>
      <c r="Y19" s="1" t="n">
        <f aca="false">+IF($D19&gt;Y$1-1,($G19+Y$1)^2,0)*$C19*IF($F19="Optimization",2,1)</f>
        <v>0</v>
      </c>
      <c r="Z19" s="1" t="n">
        <f aca="false">+IF($D19&gt;Z$1-1,($G19+Z$1)^2,0)*$C19*IF($F19="Optimization",2,1)</f>
        <v>0</v>
      </c>
      <c r="AC19" s="1" t="str">
        <f aca="false">CONCATENATE(A19,"- ",F19,"-",E19)</f>
        <v>Offensive- Optimization-</v>
      </c>
    </row>
    <row r="20" customFormat="false" ht="15" hidden="false" customHeight="false" outlineLevel="0" collapsed="false">
      <c r="A20" s="5" t="s">
        <v>21</v>
      </c>
      <c r="B20" s="5" t="s">
        <v>31</v>
      </c>
      <c r="C20" s="6" t="n">
        <v>4</v>
      </c>
      <c r="D20" s="7" t="n">
        <f aca="false">Muck</f>
        <v>6</v>
      </c>
      <c r="E20" s="8"/>
      <c r="F20" s="8" t="s">
        <v>14</v>
      </c>
      <c r="G20" s="9"/>
      <c r="H20" s="9" t="n">
        <f aca="false">MAX(0,D20+G20)</f>
        <v>6</v>
      </c>
      <c r="I20" s="9" t="n">
        <f aca="false">IF(OR(C20="",H20=""),"",ROUNDUP(C20*H20^2/2,0))</f>
        <v>72</v>
      </c>
      <c r="J20" s="8" t="n">
        <f aca="false">TRUE()</f>
        <v>1</v>
      </c>
      <c r="K20" s="9" t="n">
        <f aca="false">IF(J20,I20,0)</f>
        <v>72</v>
      </c>
      <c r="L20" s="9" t="n">
        <f aca="false">IF(OR(C20="",D20=""),"",C20*D20*(D20+1)*(2*D20+1)/6)</f>
        <v>364</v>
      </c>
      <c r="N20" s="3" t="n">
        <f aca="false">+SUM(O20:Z20)</f>
        <v>728</v>
      </c>
      <c r="O20" s="1" t="n">
        <f aca="false">+IF($D20&gt;O$1-1,($G20+O$1)^2,0)*$C20*IF($F20="Optimization",2,1)</f>
        <v>8</v>
      </c>
      <c r="P20" s="1" t="n">
        <f aca="false">+IF($D20&gt;P$1-1,($G20+P$1)^2,0)*$C20*IF($F20="Optimization",2,1)</f>
        <v>32</v>
      </c>
      <c r="Q20" s="1" t="n">
        <f aca="false">+IF($D20&gt;Q$1-1,($G20+Q$1)^2,0)*$C20*IF($F20="Optimization",2,1)</f>
        <v>72</v>
      </c>
      <c r="R20" s="1" t="n">
        <f aca="false">+IF($D20&gt;R$1-1,($G20+R$1)^2,0)*$C20*IF($F20="Optimization",2,1)</f>
        <v>128</v>
      </c>
      <c r="S20" s="1" t="n">
        <f aca="false">+IF($D20&gt;S$1-1,($G20+S$1)^2,0)*$C20*IF($F20="Optimization",2,1)</f>
        <v>200</v>
      </c>
      <c r="T20" s="1" t="n">
        <f aca="false">+IF($D20&gt;T$1-1,($G20+T$1)^2,0)*$C20*IF($F20="Optimization",2,1)</f>
        <v>288</v>
      </c>
      <c r="U20" s="1" t="n">
        <f aca="false">+IF($D20&gt;U$1-1,($G20+U$1)^2,0)*$C20*IF($F20="Optimization",2,1)</f>
        <v>0</v>
      </c>
      <c r="V20" s="1" t="n">
        <f aca="false">+IF($D20&gt;V$1-1,($G20+V$1)^2,0)*$C20*IF($F20="Optimization",2,1)</f>
        <v>0</v>
      </c>
      <c r="W20" s="1" t="n">
        <f aca="false">+IF($D20&gt;W$1-1,($G20+W$1)^2,0)*$C20*IF($F20="Optimization",2,1)</f>
        <v>0</v>
      </c>
      <c r="X20" s="1" t="n">
        <f aca="false">+IF($D20&gt;X$1-1,($G20+X$1)^2,0)*$C20*IF($F20="Optimization",2,1)</f>
        <v>0</v>
      </c>
      <c r="Y20" s="1" t="n">
        <f aca="false">+IF($D20&gt;Y$1-1,($G20+Y$1)^2,0)*$C20*IF($F20="Optimization",2,1)</f>
        <v>0</v>
      </c>
      <c r="Z20" s="1" t="n">
        <f aca="false">+IF($D20&gt;Z$1-1,($G20+Z$1)^2,0)*$C20*IF($F20="Optimization",2,1)</f>
        <v>0</v>
      </c>
      <c r="AC20" s="1" t="str">
        <f aca="false">CONCATENATE(A20,"- ",F20,"-",E20)</f>
        <v>Offensive- Optimization-</v>
      </c>
    </row>
    <row r="21" customFormat="false" ht="15" hidden="false" customHeight="false" outlineLevel="0" collapsed="false">
      <c r="A21" s="5" t="s">
        <v>21</v>
      </c>
      <c r="B21" s="5" t="s">
        <v>32</v>
      </c>
      <c r="C21" s="6" t="n">
        <v>3</v>
      </c>
      <c r="D21" s="7" t="n">
        <f aca="false">Muck</f>
        <v>6</v>
      </c>
      <c r="E21" s="8" t="s">
        <v>33</v>
      </c>
      <c r="F21" s="8" t="s">
        <v>14</v>
      </c>
      <c r="G21" s="9" t="n">
        <v>2</v>
      </c>
      <c r="H21" s="9" t="n">
        <f aca="false">MAX(0,D21+G21)</f>
        <v>8</v>
      </c>
      <c r="I21" s="9" t="n">
        <f aca="false">IF(OR(C21="",H21=""),"",ROUNDUP(C21*H21^2/2,0))</f>
        <v>96</v>
      </c>
      <c r="J21" s="8" t="n">
        <f aca="false">TRUE()</f>
        <v>1</v>
      </c>
      <c r="K21" s="9" t="n">
        <f aca="false">IF(J21,I21,0)</f>
        <v>96</v>
      </c>
      <c r="L21" s="9" t="n">
        <f aca="false">IF(OR(C21="",D21=""),"",C21*D21*(D21+1)*(2*D21+1)/6)</f>
        <v>273</v>
      </c>
      <c r="N21" s="3" t="n">
        <f aca="false">+SUM(O21:Z21)</f>
        <v>1194</v>
      </c>
      <c r="O21" s="1" t="n">
        <f aca="false">+IF($D21&gt;O$1-1,($G21+O$1)^2,0)*$C21*IF($F21="Optimization",2,1)</f>
        <v>54</v>
      </c>
      <c r="P21" s="1" t="n">
        <f aca="false">+IF($D21&gt;P$1-1,($G21+P$1)^2,0)*$C21*IF($F21="Optimization",2,1)</f>
        <v>96</v>
      </c>
      <c r="Q21" s="1" t="n">
        <f aca="false">+IF($D21&gt;Q$1-1,($G21+Q$1)^2,0)*$C21*IF($F21="Optimization",2,1)</f>
        <v>150</v>
      </c>
      <c r="R21" s="1" t="n">
        <f aca="false">+IF($D21&gt;R$1-1,($G21+R$1)^2,0)*$C21*IF($F21="Optimization",2,1)</f>
        <v>216</v>
      </c>
      <c r="S21" s="1" t="n">
        <f aca="false">+IF($D21&gt;S$1-1,($G21+S$1)^2,0)*$C21*IF($F21="Optimization",2,1)</f>
        <v>294</v>
      </c>
      <c r="T21" s="1" t="n">
        <f aca="false">+IF($D21&gt;T$1-1,($G21+T$1)^2,0)*$C21*IF($F21="Optimization",2,1)</f>
        <v>384</v>
      </c>
      <c r="U21" s="1" t="n">
        <f aca="false">+IF($D21&gt;U$1-1,($G21+U$1)^2,0)*$C21*IF($F21="Optimization",2,1)</f>
        <v>0</v>
      </c>
      <c r="V21" s="1" t="n">
        <f aca="false">+IF($D21&gt;V$1-1,($G21+V$1)^2,0)*$C21*IF($F21="Optimization",2,1)</f>
        <v>0</v>
      </c>
      <c r="W21" s="1" t="n">
        <f aca="false">+IF($D21&gt;W$1-1,($G21+W$1)^2,0)*$C21*IF($F21="Optimization",2,1)</f>
        <v>0</v>
      </c>
      <c r="X21" s="1" t="n">
        <f aca="false">+IF($D21&gt;X$1-1,($G21+X$1)^2,0)*$C21*IF($F21="Optimization",2,1)</f>
        <v>0</v>
      </c>
      <c r="Y21" s="1" t="n">
        <f aca="false">+IF($D21&gt;Y$1-1,($G21+Y$1)^2,0)*$C21*IF($F21="Optimization",2,1)</f>
        <v>0</v>
      </c>
      <c r="Z21" s="1" t="n">
        <f aca="false">+IF($D21&gt;Z$1-1,($G21+Z$1)^2,0)*$C21*IF($F21="Optimization",2,1)</f>
        <v>0</v>
      </c>
      <c r="AC21" s="1" t="str">
        <f aca="false">CONCATENATE(A21,"- ",F21,"-",E21)</f>
        <v>Offensive- Optimization-Stealth</v>
      </c>
    </row>
    <row r="22" customFormat="false" ht="15" hidden="false" customHeight="false" outlineLevel="0" collapsed="false">
      <c r="A22" s="5" t="s">
        <v>21</v>
      </c>
      <c r="B22" s="5" t="s">
        <v>32</v>
      </c>
      <c r="C22" s="6" t="n">
        <v>3</v>
      </c>
      <c r="D22" s="7" t="n">
        <f aca="false">Muck</f>
        <v>6</v>
      </c>
      <c r="E22" s="8"/>
      <c r="F22" s="8" t="s">
        <v>14</v>
      </c>
      <c r="G22" s="9"/>
      <c r="H22" s="9" t="n">
        <f aca="false">MAX(0,D22+G22)</f>
        <v>6</v>
      </c>
      <c r="I22" s="9" t="n">
        <f aca="false">IF(OR(C22="",H22=""),"",ROUNDUP(C22*H22^2/2,0))</f>
        <v>54</v>
      </c>
      <c r="J22" s="8" t="n">
        <f aca="false">TRUE()</f>
        <v>1</v>
      </c>
      <c r="K22" s="9" t="n">
        <f aca="false">IF(J22,I22,0)</f>
        <v>54</v>
      </c>
      <c r="L22" s="9" t="n">
        <f aca="false">IF(OR(C22="",D22=""),"",C22*D22*(D22+1)*(2*D22+1)/6)</f>
        <v>273</v>
      </c>
      <c r="N22" s="3" t="n">
        <f aca="false">+SUM(O22:Z22)</f>
        <v>546</v>
      </c>
      <c r="O22" s="1" t="n">
        <f aca="false">+IF($D22&gt;O$1-1,($G22+O$1)^2,0)*$C22*IF($F22="Optimization",2,1)</f>
        <v>6</v>
      </c>
      <c r="P22" s="1" t="n">
        <f aca="false">+IF($D22&gt;P$1-1,($G22+P$1)^2,0)*$C22*IF($F22="Optimization",2,1)</f>
        <v>24</v>
      </c>
      <c r="Q22" s="1" t="n">
        <f aca="false">+IF($D22&gt;Q$1-1,($G22+Q$1)^2,0)*$C22*IF($F22="Optimization",2,1)</f>
        <v>54</v>
      </c>
      <c r="R22" s="1" t="n">
        <f aca="false">+IF($D22&gt;R$1-1,($G22+R$1)^2,0)*$C22*IF($F22="Optimization",2,1)</f>
        <v>96</v>
      </c>
      <c r="S22" s="1" t="n">
        <f aca="false">+IF($D22&gt;S$1-1,($G22+S$1)^2,0)*$C22*IF($F22="Optimization",2,1)</f>
        <v>150</v>
      </c>
      <c r="T22" s="1" t="n">
        <f aca="false">+IF($D22&gt;T$1-1,($G22+T$1)^2,0)*$C22*IF($F22="Optimization",2,1)</f>
        <v>216</v>
      </c>
      <c r="U22" s="1" t="n">
        <f aca="false">+IF($D22&gt;U$1-1,($G22+U$1)^2,0)*$C22*IF($F22="Optimization",2,1)</f>
        <v>0</v>
      </c>
      <c r="V22" s="1" t="n">
        <f aca="false">+IF($D22&gt;V$1-1,($G22+V$1)^2,0)*$C22*IF($F22="Optimization",2,1)</f>
        <v>0</v>
      </c>
      <c r="W22" s="1" t="n">
        <f aca="false">+IF($D22&gt;W$1-1,($G22+W$1)^2,0)*$C22*IF($F22="Optimization",2,1)</f>
        <v>0</v>
      </c>
      <c r="X22" s="1" t="n">
        <f aca="false">+IF($D22&gt;X$1-1,($G22+X$1)^2,0)*$C22*IF($F22="Optimization",2,1)</f>
        <v>0</v>
      </c>
      <c r="Y22" s="1" t="n">
        <f aca="false">+IF($D22&gt;Y$1-1,($G22+Y$1)^2,0)*$C22*IF($F22="Optimization",2,1)</f>
        <v>0</v>
      </c>
      <c r="Z22" s="1" t="n">
        <f aca="false">+IF($D22&gt;Z$1-1,($G22+Z$1)^2,0)*$C22*IF($F22="Optimization",2,1)</f>
        <v>0</v>
      </c>
      <c r="AC22" s="1" t="str">
        <f aca="false">CONCATENATE(A22,"- ",F22,"-",E22)</f>
        <v>Offensive- Optimization-</v>
      </c>
    </row>
    <row r="23" customFormat="false" ht="15" hidden="false" customHeight="false" outlineLevel="0" collapsed="false">
      <c r="A23" s="5" t="s">
        <v>34</v>
      </c>
      <c r="B23" s="5" t="s">
        <v>35</v>
      </c>
      <c r="C23" s="6" t="n">
        <v>3</v>
      </c>
      <c r="D23" s="7" t="n">
        <f aca="false">Muck</f>
        <v>6</v>
      </c>
      <c r="E23" s="8" t="s">
        <v>18</v>
      </c>
      <c r="F23" s="8" t="s">
        <v>14</v>
      </c>
      <c r="G23" s="9" t="n">
        <v>3</v>
      </c>
      <c r="H23" s="9" t="n">
        <f aca="false">MAX(0,D23+G23)</f>
        <v>9</v>
      </c>
      <c r="I23" s="9" t="n">
        <f aca="false">IF(OR(C23="",H23=""),"",ROUNDUP(C23*H23^2/2,0))</f>
        <v>122</v>
      </c>
      <c r="J23" s="8" t="n">
        <f aca="false">TRUE()</f>
        <v>1</v>
      </c>
      <c r="K23" s="9" t="n">
        <f aca="false">IF(J23,I23,0)</f>
        <v>122</v>
      </c>
      <c r="L23" s="9" t="n">
        <f aca="false">IF(OR(C23="",D23=""),"",C23*D23*(D23+1)*(2*D23+1)/6)</f>
        <v>273</v>
      </c>
      <c r="N23" s="3" t="n">
        <f aca="false">+SUM(O23:Z23)</f>
        <v>1626</v>
      </c>
      <c r="O23" s="1" t="n">
        <f aca="false">+IF($D23&gt;O$1-1,($G23+O$1)^2,0)*$C23*IF($F23="Optimization",2,1)</f>
        <v>96</v>
      </c>
      <c r="P23" s="1" t="n">
        <f aca="false">+IF($D23&gt;P$1-1,($G23+P$1)^2,0)*$C23*IF($F23="Optimization",2,1)</f>
        <v>150</v>
      </c>
      <c r="Q23" s="1" t="n">
        <f aca="false">+IF($D23&gt;Q$1-1,($G23+Q$1)^2,0)*$C23*IF($F23="Optimization",2,1)</f>
        <v>216</v>
      </c>
      <c r="R23" s="1" t="n">
        <f aca="false">+IF($D23&gt;R$1-1,($G23+R$1)^2,0)*$C23*IF($F23="Optimization",2,1)</f>
        <v>294</v>
      </c>
      <c r="S23" s="1" t="n">
        <f aca="false">+IF($D23&gt;S$1-1,($G23+S$1)^2,0)*$C23*IF($F23="Optimization",2,1)</f>
        <v>384</v>
      </c>
      <c r="T23" s="1" t="n">
        <f aca="false">+IF($D23&gt;T$1-1,($G23+T$1)^2,0)*$C23*IF($F23="Optimization",2,1)</f>
        <v>486</v>
      </c>
      <c r="U23" s="1" t="n">
        <f aca="false">+IF($D23&gt;U$1-1,($G23+U$1)^2,0)*$C23*IF($F23="Optimization",2,1)</f>
        <v>0</v>
      </c>
      <c r="V23" s="1" t="n">
        <f aca="false">+IF($D23&gt;V$1-1,($G23+V$1)^2,0)*$C23*IF($F23="Optimization",2,1)</f>
        <v>0</v>
      </c>
      <c r="W23" s="1" t="n">
        <f aca="false">+IF($D23&gt;W$1-1,($G23+W$1)^2,0)*$C23*IF($F23="Optimization",2,1)</f>
        <v>0</v>
      </c>
      <c r="X23" s="1" t="n">
        <f aca="false">+IF($D23&gt;X$1-1,($G23+X$1)^2,0)*$C23*IF($F23="Optimization",2,1)</f>
        <v>0</v>
      </c>
      <c r="Y23" s="1" t="n">
        <f aca="false">+IF($D23&gt;Y$1-1,($G23+Y$1)^2,0)*$C23*IF($F23="Optimization",2,1)</f>
        <v>0</v>
      </c>
      <c r="Z23" s="1" t="n">
        <f aca="false">+IF($D23&gt;Z$1-1,($G23+Z$1)^2,0)*$C23*IF($F23="Optimization",2,1)</f>
        <v>0</v>
      </c>
      <c r="AC23" s="1" t="str">
        <f aca="false">CONCATENATE(A23,"- ",F23,"-",E23)</f>
        <v>Operational- Optimization-DINAB</v>
      </c>
    </row>
    <row r="24" customFormat="false" ht="15" hidden="false" customHeight="false" outlineLevel="0" collapsed="false">
      <c r="A24" s="5" t="s">
        <v>34</v>
      </c>
      <c r="B24" s="5" t="s">
        <v>35</v>
      </c>
      <c r="C24" s="6" t="n">
        <v>3</v>
      </c>
      <c r="D24" s="7" t="n">
        <f aca="false">Muck</f>
        <v>6</v>
      </c>
      <c r="E24" s="8"/>
      <c r="F24" s="8" t="s">
        <v>14</v>
      </c>
      <c r="G24" s="9"/>
      <c r="H24" s="9" t="n">
        <f aca="false">MAX(0,D24+G24)</f>
        <v>6</v>
      </c>
      <c r="I24" s="9" t="n">
        <f aca="false">IF(OR(C24="",H24=""),"",ROUNDUP(C24*H24^2/2,0))</f>
        <v>54</v>
      </c>
      <c r="J24" s="8" t="n">
        <f aca="false">TRUE()</f>
        <v>1</v>
      </c>
      <c r="K24" s="9" t="n">
        <f aca="false">IF(J24,I24,0)</f>
        <v>54</v>
      </c>
      <c r="L24" s="9" t="n">
        <f aca="false">IF(OR(C24="",D24=""),"",C24*D24*(D24+1)*(2*D24+1)/6)</f>
        <v>273</v>
      </c>
      <c r="N24" s="3" t="n">
        <f aca="false">+SUM(O24:Z24)</f>
        <v>546</v>
      </c>
      <c r="O24" s="1" t="n">
        <f aca="false">+IF($D24&gt;O$1-1,($G24+O$1)^2,0)*$C24*IF($F24="Optimization",2,1)</f>
        <v>6</v>
      </c>
      <c r="P24" s="1" t="n">
        <f aca="false">+IF($D24&gt;P$1-1,($G24+P$1)^2,0)*$C24*IF($F24="Optimization",2,1)</f>
        <v>24</v>
      </c>
      <c r="Q24" s="1" t="n">
        <f aca="false">+IF($D24&gt;Q$1-1,($G24+Q$1)^2,0)*$C24*IF($F24="Optimization",2,1)</f>
        <v>54</v>
      </c>
      <c r="R24" s="1" t="n">
        <f aca="false">+IF($D24&gt;R$1-1,($G24+R$1)^2,0)*$C24*IF($F24="Optimization",2,1)</f>
        <v>96</v>
      </c>
      <c r="S24" s="1" t="n">
        <f aca="false">+IF($D24&gt;S$1-1,($G24+S$1)^2,0)*$C24*IF($F24="Optimization",2,1)</f>
        <v>150</v>
      </c>
      <c r="T24" s="1" t="n">
        <f aca="false">+IF($D24&gt;T$1-1,($G24+T$1)^2,0)*$C24*IF($F24="Optimization",2,1)</f>
        <v>216</v>
      </c>
      <c r="U24" s="1" t="n">
        <f aca="false">+IF($D24&gt;U$1-1,($G24+U$1)^2,0)*$C24*IF($F24="Optimization",2,1)</f>
        <v>0</v>
      </c>
      <c r="V24" s="1" t="n">
        <f aca="false">+IF($D24&gt;V$1-1,($G24+V$1)^2,0)*$C24*IF($F24="Optimization",2,1)</f>
        <v>0</v>
      </c>
      <c r="W24" s="1" t="n">
        <f aca="false">+IF($D24&gt;W$1-1,($G24+W$1)^2,0)*$C24*IF($F24="Optimization",2,1)</f>
        <v>0</v>
      </c>
      <c r="X24" s="1" t="n">
        <f aca="false">+IF($D24&gt;X$1-1,($G24+X$1)^2,0)*$C24*IF($F24="Optimization",2,1)</f>
        <v>0</v>
      </c>
      <c r="Y24" s="1" t="n">
        <f aca="false">+IF($D24&gt;Y$1-1,($G24+Y$1)^2,0)*$C24*IF($F24="Optimization",2,1)</f>
        <v>0</v>
      </c>
      <c r="Z24" s="1" t="n">
        <f aca="false">+IF($D24&gt;Z$1-1,($G24+Z$1)^2,0)*$C24*IF($F24="Optimization",2,1)</f>
        <v>0</v>
      </c>
      <c r="AC24" s="1" t="str">
        <f aca="false">CONCATENATE(A24,"- ",F24,"-",E24)</f>
        <v>Operational- Optimization-</v>
      </c>
    </row>
    <row r="25" customFormat="false" ht="15" hidden="false" customHeight="false" outlineLevel="0" collapsed="false">
      <c r="A25" s="5" t="s">
        <v>34</v>
      </c>
      <c r="B25" s="5" t="s">
        <v>36</v>
      </c>
      <c r="C25" s="6" t="n">
        <v>1</v>
      </c>
      <c r="D25" s="7" t="n">
        <f aca="false">Muck</f>
        <v>6</v>
      </c>
      <c r="E25" s="8" t="s">
        <v>18</v>
      </c>
      <c r="F25" s="8" t="s">
        <v>14</v>
      </c>
      <c r="G25" s="9" t="n">
        <v>3</v>
      </c>
      <c r="H25" s="9" t="n">
        <f aca="false">MAX(0,D25+G25)</f>
        <v>9</v>
      </c>
      <c r="I25" s="9" t="n">
        <f aca="false">IF(OR(C25="",H25=""),"",ROUNDUP(C25*H25^2/2,0))</f>
        <v>41</v>
      </c>
      <c r="J25" s="8" t="n">
        <f aca="false">TRUE()</f>
        <v>1</v>
      </c>
      <c r="K25" s="9" t="n">
        <f aca="false">IF(J25,I25,0)</f>
        <v>41</v>
      </c>
      <c r="L25" s="9" t="n">
        <f aca="false">IF(OR(C25="",D25=""),"",C25*D25*(D25+1)*(2*D25+1)/6)</f>
        <v>91</v>
      </c>
      <c r="N25" s="3" t="n">
        <f aca="false">+SUM(O25:Z25)</f>
        <v>542</v>
      </c>
      <c r="O25" s="1" t="n">
        <f aca="false">+IF($D25&gt;O$1-1,($G25+O$1)^2,0)*$C25*IF($F25="Optimization",2,1)</f>
        <v>32</v>
      </c>
      <c r="P25" s="1" t="n">
        <f aca="false">+IF($D25&gt;P$1-1,($G25+P$1)^2,0)*$C25*IF($F25="Optimization",2,1)</f>
        <v>50</v>
      </c>
      <c r="Q25" s="1" t="n">
        <f aca="false">+IF($D25&gt;Q$1-1,($G25+Q$1)^2,0)*$C25*IF($F25="Optimization",2,1)</f>
        <v>72</v>
      </c>
      <c r="R25" s="1" t="n">
        <f aca="false">+IF($D25&gt;R$1-1,($G25+R$1)^2,0)*$C25*IF($F25="Optimization",2,1)</f>
        <v>98</v>
      </c>
      <c r="S25" s="1" t="n">
        <f aca="false">+IF($D25&gt;S$1-1,($G25+S$1)^2,0)*$C25*IF($F25="Optimization",2,1)</f>
        <v>128</v>
      </c>
      <c r="T25" s="1" t="n">
        <f aca="false">+IF($D25&gt;T$1-1,($G25+T$1)^2,0)*$C25*IF($F25="Optimization",2,1)</f>
        <v>162</v>
      </c>
      <c r="U25" s="1" t="n">
        <f aca="false">+IF($D25&gt;U$1-1,($G25+U$1)^2,0)*$C25*IF($F25="Optimization",2,1)</f>
        <v>0</v>
      </c>
      <c r="V25" s="1" t="n">
        <f aca="false">+IF($D25&gt;V$1-1,($G25+V$1)^2,0)*$C25*IF($F25="Optimization",2,1)</f>
        <v>0</v>
      </c>
      <c r="W25" s="1" t="n">
        <f aca="false">+IF($D25&gt;W$1-1,($G25+W$1)^2,0)*$C25*IF($F25="Optimization",2,1)</f>
        <v>0</v>
      </c>
      <c r="X25" s="1" t="n">
        <f aca="false">+IF($D25&gt;X$1-1,($G25+X$1)^2,0)*$C25*IF($F25="Optimization",2,1)</f>
        <v>0</v>
      </c>
      <c r="Y25" s="1" t="n">
        <f aca="false">+IF($D25&gt;Y$1-1,($G25+Y$1)^2,0)*$C25*IF($F25="Optimization",2,1)</f>
        <v>0</v>
      </c>
      <c r="Z25" s="1" t="n">
        <f aca="false">+IF($D25&gt;Z$1-1,($G25+Z$1)^2,0)*$C25*IF($F25="Optimization",2,1)</f>
        <v>0</v>
      </c>
      <c r="AC25" s="1" t="str">
        <f aca="false">CONCATENATE(A25,"- ",F25,"-",E25)</f>
        <v>Operational- Optimization-DINAB</v>
      </c>
    </row>
    <row r="26" customFormat="false" ht="15" hidden="false" customHeight="false" outlineLevel="0" collapsed="false">
      <c r="A26" s="5" t="s">
        <v>34</v>
      </c>
      <c r="B26" s="5" t="s">
        <v>36</v>
      </c>
      <c r="C26" s="6" t="n">
        <v>1</v>
      </c>
      <c r="D26" s="7" t="n">
        <f aca="false">Muck</f>
        <v>6</v>
      </c>
      <c r="E26" s="8"/>
      <c r="F26" s="8" t="s">
        <v>14</v>
      </c>
      <c r="G26" s="9"/>
      <c r="H26" s="9" t="n">
        <f aca="false">MAX(0,D26+G26)</f>
        <v>6</v>
      </c>
      <c r="I26" s="9" t="n">
        <f aca="false">IF(OR(C26="",H26=""),"",ROUNDUP(C26*H26^2/2,0))</f>
        <v>18</v>
      </c>
      <c r="J26" s="8" t="n">
        <f aca="false">TRUE()</f>
        <v>1</v>
      </c>
      <c r="K26" s="9" t="n">
        <f aca="false">IF(J26,I26,0)</f>
        <v>18</v>
      </c>
      <c r="L26" s="9" t="n">
        <f aca="false">IF(OR(C26="",D26=""),"",C26*D26*(D26+1)*(2*D26+1)/6)</f>
        <v>91</v>
      </c>
      <c r="N26" s="3" t="n">
        <f aca="false">+SUM(O26:Z26)</f>
        <v>182</v>
      </c>
      <c r="O26" s="1" t="n">
        <f aca="false">+IF($D26&gt;O$1-1,($G26+O$1)^2,0)*$C26*IF($F26="Optimization",2,1)</f>
        <v>2</v>
      </c>
      <c r="P26" s="1" t="n">
        <f aca="false">+IF($D26&gt;P$1-1,($G26+P$1)^2,0)*$C26*IF($F26="Optimization",2,1)</f>
        <v>8</v>
      </c>
      <c r="Q26" s="1" t="n">
        <f aca="false">+IF($D26&gt;Q$1-1,($G26+Q$1)^2,0)*$C26*IF($F26="Optimization",2,1)</f>
        <v>18</v>
      </c>
      <c r="R26" s="1" t="n">
        <f aca="false">+IF($D26&gt;R$1-1,($G26+R$1)^2,0)*$C26*IF($F26="Optimization",2,1)</f>
        <v>32</v>
      </c>
      <c r="S26" s="1" t="n">
        <f aca="false">+IF($D26&gt;S$1-1,($G26+S$1)^2,0)*$C26*IF($F26="Optimization",2,1)</f>
        <v>50</v>
      </c>
      <c r="T26" s="1" t="n">
        <f aca="false">+IF($D26&gt;T$1-1,($G26+T$1)^2,0)*$C26*IF($F26="Optimization",2,1)</f>
        <v>72</v>
      </c>
      <c r="U26" s="1" t="n">
        <f aca="false">+IF($D26&gt;U$1-1,($G26+U$1)^2,0)*$C26*IF($F26="Optimization",2,1)</f>
        <v>0</v>
      </c>
      <c r="V26" s="1" t="n">
        <f aca="false">+IF($D26&gt;V$1-1,($G26+V$1)^2,0)*$C26*IF($F26="Optimization",2,1)</f>
        <v>0</v>
      </c>
      <c r="W26" s="1" t="n">
        <f aca="false">+IF($D26&gt;W$1-1,($G26+W$1)^2,0)*$C26*IF($F26="Optimization",2,1)</f>
        <v>0</v>
      </c>
      <c r="X26" s="1" t="n">
        <f aca="false">+IF($D26&gt;X$1-1,($G26+X$1)^2,0)*$C26*IF($F26="Optimization",2,1)</f>
        <v>0</v>
      </c>
      <c r="Y26" s="1" t="n">
        <f aca="false">+IF($D26&gt;Y$1-1,($G26+Y$1)^2,0)*$C26*IF($F26="Optimization",2,1)</f>
        <v>0</v>
      </c>
      <c r="Z26" s="1" t="n">
        <f aca="false">+IF($D26&gt;Z$1-1,($G26+Z$1)^2,0)*$C26*IF($F26="Optimization",2,1)</f>
        <v>0</v>
      </c>
      <c r="AC26" s="1" t="str">
        <f aca="false">CONCATENATE(A26,"- ",F26,"-",E26)</f>
        <v>Operational- Optimization-</v>
      </c>
    </row>
    <row r="27" customFormat="false" ht="15" hidden="false" customHeight="false" outlineLevel="0" collapsed="false">
      <c r="A27" s="5" t="s">
        <v>34</v>
      </c>
      <c r="B27" s="5" t="s">
        <v>37</v>
      </c>
      <c r="C27" s="6" t="n">
        <v>3</v>
      </c>
      <c r="D27" s="7" t="n">
        <f aca="false">Muck</f>
        <v>6</v>
      </c>
      <c r="E27" s="8" t="s">
        <v>38</v>
      </c>
      <c r="F27" s="8" t="s">
        <v>14</v>
      </c>
      <c r="G27" s="9" t="n">
        <v>2</v>
      </c>
      <c r="H27" s="9" t="n">
        <f aca="false">MAX(0,D27+G27)</f>
        <v>8</v>
      </c>
      <c r="I27" s="9" t="n">
        <f aca="false">IF(OR(C27="",H27=""),"",ROUNDUP(C27*H27^2/2,0))</f>
        <v>96</v>
      </c>
      <c r="J27" s="8" t="n">
        <f aca="false">TRUE()</f>
        <v>1</v>
      </c>
      <c r="K27" s="9" t="n">
        <f aca="false">IF(J27,I27,0)</f>
        <v>96</v>
      </c>
      <c r="L27" s="9" t="n">
        <f aca="false">IF(OR(C27="",D27=""),"",C27*D27*(D27+1)*(2*D27+1)/6)</f>
        <v>273</v>
      </c>
      <c r="N27" s="3" t="n">
        <f aca="false">+SUM(O27:Z27)</f>
        <v>1194</v>
      </c>
      <c r="O27" s="1" t="n">
        <f aca="false">+IF($D27&gt;O$1-1,($G27+O$1)^2,0)*$C27*IF($F27="Optimization",2,1)</f>
        <v>54</v>
      </c>
      <c r="P27" s="1" t="n">
        <f aca="false">+IF($D27&gt;P$1-1,($G27+P$1)^2,0)*$C27*IF($F27="Optimization",2,1)</f>
        <v>96</v>
      </c>
      <c r="Q27" s="1" t="n">
        <f aca="false">+IF($D27&gt;Q$1-1,($G27+Q$1)^2,0)*$C27*IF($F27="Optimization",2,1)</f>
        <v>150</v>
      </c>
      <c r="R27" s="1" t="n">
        <f aca="false">+IF($D27&gt;R$1-1,($G27+R$1)^2,0)*$C27*IF($F27="Optimization",2,1)</f>
        <v>216</v>
      </c>
      <c r="S27" s="1" t="n">
        <f aca="false">+IF($D27&gt;S$1-1,($G27+S$1)^2,0)*$C27*IF($F27="Optimization",2,1)</f>
        <v>294</v>
      </c>
      <c r="T27" s="1" t="n">
        <f aca="false">+IF($D27&gt;T$1-1,($G27+T$1)^2,0)*$C27*IF($F27="Optimization",2,1)</f>
        <v>384</v>
      </c>
      <c r="U27" s="1" t="n">
        <f aca="false">+IF($D27&gt;U$1-1,($G27+U$1)^2,0)*$C27*IF($F27="Optimization",2,1)</f>
        <v>0</v>
      </c>
      <c r="V27" s="1" t="n">
        <f aca="false">+IF($D27&gt;V$1-1,($G27+V$1)^2,0)*$C27*IF($F27="Optimization",2,1)</f>
        <v>0</v>
      </c>
      <c r="W27" s="1" t="n">
        <f aca="false">+IF($D27&gt;W$1-1,($G27+W$1)^2,0)*$C27*IF($F27="Optimization",2,1)</f>
        <v>0</v>
      </c>
      <c r="X27" s="1" t="n">
        <f aca="false">+IF($D27&gt;X$1-1,($G27+X$1)^2,0)*$C27*IF($F27="Optimization",2,1)</f>
        <v>0</v>
      </c>
      <c r="Y27" s="1" t="n">
        <f aca="false">+IF($D27&gt;Y$1-1,($G27+Y$1)^2,0)*$C27*IF($F27="Optimization",2,1)</f>
        <v>0</v>
      </c>
      <c r="Z27" s="1" t="n">
        <f aca="false">+IF($D27&gt;Z$1-1,($G27+Z$1)^2,0)*$C27*IF($F27="Optimization",2,1)</f>
        <v>0</v>
      </c>
      <c r="AC27" s="1" t="str">
        <f aca="false">CONCATENATE(A27,"- ",F27,"-",E27)</f>
        <v>Operational- Optimization-Sneak</v>
      </c>
    </row>
    <row r="28" customFormat="false" ht="15" hidden="false" customHeight="false" outlineLevel="0" collapsed="false">
      <c r="A28" s="5" t="s">
        <v>34</v>
      </c>
      <c r="B28" s="5" t="s">
        <v>37</v>
      </c>
      <c r="C28" s="6" t="n">
        <v>3</v>
      </c>
      <c r="D28" s="7" t="n">
        <f aca="false">Muck</f>
        <v>6</v>
      </c>
      <c r="E28" s="8"/>
      <c r="F28" s="8" t="s">
        <v>14</v>
      </c>
      <c r="G28" s="9"/>
      <c r="H28" s="9" t="n">
        <f aca="false">MAX(0,D28+G28)</f>
        <v>6</v>
      </c>
      <c r="I28" s="9" t="n">
        <f aca="false">IF(OR(C28="",H28=""),"",ROUNDUP(C28*H28^2/2,0))</f>
        <v>54</v>
      </c>
      <c r="J28" s="8" t="n">
        <f aca="false">TRUE()</f>
        <v>1</v>
      </c>
      <c r="K28" s="9" t="n">
        <f aca="false">IF(J28,I28,0)</f>
        <v>54</v>
      </c>
      <c r="L28" s="9" t="n">
        <f aca="false">IF(OR(C28="",D28=""),"",C28*D28*(D28+1)*(2*D28+1)/6)</f>
        <v>273</v>
      </c>
      <c r="N28" s="3" t="n">
        <f aca="false">+SUM(O28:Z28)</f>
        <v>546</v>
      </c>
      <c r="O28" s="1" t="n">
        <f aca="false">+IF($D28&gt;O$1-1,($G28+O$1)^2,0)*$C28*IF($F28="Optimization",2,1)</f>
        <v>6</v>
      </c>
      <c r="P28" s="1" t="n">
        <f aca="false">+IF($D28&gt;P$1-1,($G28+P$1)^2,0)*$C28*IF($F28="Optimization",2,1)</f>
        <v>24</v>
      </c>
      <c r="Q28" s="1" t="n">
        <f aca="false">+IF($D28&gt;Q$1-1,($G28+Q$1)^2,0)*$C28*IF($F28="Optimization",2,1)</f>
        <v>54</v>
      </c>
      <c r="R28" s="1" t="n">
        <f aca="false">+IF($D28&gt;R$1-1,($G28+R$1)^2,0)*$C28*IF($F28="Optimization",2,1)</f>
        <v>96</v>
      </c>
      <c r="S28" s="1" t="n">
        <f aca="false">+IF($D28&gt;S$1-1,($G28+S$1)^2,0)*$C28*IF($F28="Optimization",2,1)</f>
        <v>150</v>
      </c>
      <c r="T28" s="1" t="n">
        <f aca="false">+IF($D28&gt;T$1-1,($G28+T$1)^2,0)*$C28*IF($F28="Optimization",2,1)</f>
        <v>216</v>
      </c>
      <c r="U28" s="1" t="n">
        <f aca="false">+IF($D28&gt;U$1-1,($G28+U$1)^2,0)*$C28*IF($F28="Optimization",2,1)</f>
        <v>0</v>
      </c>
      <c r="V28" s="1" t="n">
        <f aca="false">+IF($D28&gt;V$1-1,($G28+V$1)^2,0)*$C28*IF($F28="Optimization",2,1)</f>
        <v>0</v>
      </c>
      <c r="W28" s="1" t="n">
        <f aca="false">+IF($D28&gt;W$1-1,($G28+W$1)^2,0)*$C28*IF($F28="Optimization",2,1)</f>
        <v>0</v>
      </c>
      <c r="X28" s="1" t="n">
        <f aca="false">+IF($D28&gt;X$1-1,($G28+X$1)^2,0)*$C28*IF($F28="Optimization",2,1)</f>
        <v>0</v>
      </c>
      <c r="Y28" s="1" t="n">
        <f aca="false">+IF($D28&gt;Y$1-1,($G28+Y$1)^2,0)*$C28*IF($F28="Optimization",2,1)</f>
        <v>0</v>
      </c>
      <c r="Z28" s="1" t="n">
        <f aca="false">+IF($D28&gt;Z$1-1,($G28+Z$1)^2,0)*$C28*IF($F28="Optimization",2,1)</f>
        <v>0</v>
      </c>
      <c r="AC28" s="1" t="str">
        <f aca="false">CONCATENATE(A28,"- ",F28,"-",E28)</f>
        <v>Operational- Optimization-</v>
      </c>
    </row>
    <row r="29" customFormat="false" ht="15" hidden="false" customHeight="false" outlineLevel="0" collapsed="false">
      <c r="A29" s="5" t="s">
        <v>34</v>
      </c>
      <c r="B29" s="5" t="s">
        <v>39</v>
      </c>
      <c r="C29" s="6" t="n">
        <v>1</v>
      </c>
      <c r="D29" s="7" t="n">
        <f aca="false">Muck</f>
        <v>6</v>
      </c>
      <c r="E29" s="8" t="s">
        <v>38</v>
      </c>
      <c r="F29" s="8" t="s">
        <v>14</v>
      </c>
      <c r="G29" s="9" t="n">
        <v>2</v>
      </c>
      <c r="H29" s="9" t="n">
        <f aca="false">MAX(0,D29+G29)</f>
        <v>8</v>
      </c>
      <c r="I29" s="9" t="n">
        <f aca="false">IF(OR(C29="",H29=""),"",ROUNDUP(C29*H29^2/2,0))</f>
        <v>32</v>
      </c>
      <c r="J29" s="8" t="n">
        <f aca="false">TRUE()</f>
        <v>1</v>
      </c>
      <c r="K29" s="9" t="n">
        <f aca="false">IF(J29,I29,0)</f>
        <v>32</v>
      </c>
      <c r="L29" s="9" t="n">
        <f aca="false">IF(OR(C29="",D29=""),"",C29*D29*(D29+1)*(2*D29+1)/6)</f>
        <v>91</v>
      </c>
      <c r="N29" s="3" t="n">
        <f aca="false">+SUM(O29:Z29)</f>
        <v>398</v>
      </c>
      <c r="O29" s="1" t="n">
        <f aca="false">+IF($D29&gt;O$1-1,($G29+O$1)^2,0)*$C29*IF($F29="Optimization",2,1)</f>
        <v>18</v>
      </c>
      <c r="P29" s="1" t="n">
        <f aca="false">+IF($D29&gt;P$1-1,($G29+P$1)^2,0)*$C29*IF($F29="Optimization",2,1)</f>
        <v>32</v>
      </c>
      <c r="Q29" s="1" t="n">
        <f aca="false">+IF($D29&gt;Q$1-1,($G29+Q$1)^2,0)*$C29*IF($F29="Optimization",2,1)</f>
        <v>50</v>
      </c>
      <c r="R29" s="1" t="n">
        <f aca="false">+IF($D29&gt;R$1-1,($G29+R$1)^2,0)*$C29*IF($F29="Optimization",2,1)</f>
        <v>72</v>
      </c>
      <c r="S29" s="1" t="n">
        <f aca="false">+IF($D29&gt;S$1-1,($G29+S$1)^2,0)*$C29*IF($F29="Optimization",2,1)</f>
        <v>98</v>
      </c>
      <c r="T29" s="1" t="n">
        <f aca="false">+IF($D29&gt;T$1-1,($G29+T$1)^2,0)*$C29*IF($F29="Optimization",2,1)</f>
        <v>128</v>
      </c>
      <c r="U29" s="1" t="n">
        <f aca="false">+IF($D29&gt;U$1-1,($G29+U$1)^2,0)*$C29*IF($F29="Optimization",2,1)</f>
        <v>0</v>
      </c>
      <c r="V29" s="1" t="n">
        <f aca="false">+IF($D29&gt;V$1-1,($G29+V$1)^2,0)*$C29*IF($F29="Optimization",2,1)</f>
        <v>0</v>
      </c>
      <c r="W29" s="1" t="n">
        <f aca="false">+IF($D29&gt;W$1-1,($G29+W$1)^2,0)*$C29*IF($F29="Optimization",2,1)</f>
        <v>0</v>
      </c>
      <c r="X29" s="1" t="n">
        <f aca="false">+IF($D29&gt;X$1-1,($G29+X$1)^2,0)*$C29*IF($F29="Optimization",2,1)</f>
        <v>0</v>
      </c>
      <c r="Y29" s="1" t="n">
        <f aca="false">+IF($D29&gt;Y$1-1,($G29+Y$1)^2,0)*$C29*IF($F29="Optimization",2,1)</f>
        <v>0</v>
      </c>
      <c r="Z29" s="1" t="n">
        <f aca="false">+IF($D29&gt;Z$1-1,($G29+Z$1)^2,0)*$C29*IF($F29="Optimization",2,1)</f>
        <v>0</v>
      </c>
      <c r="AC29" s="1" t="str">
        <f aca="false">CONCATENATE(A29,"- ",F29,"-",E29)</f>
        <v>Operational- Optimization-Sneak</v>
      </c>
    </row>
    <row r="30" customFormat="false" ht="15" hidden="false" customHeight="false" outlineLevel="0" collapsed="false">
      <c r="A30" s="5" t="s">
        <v>34</v>
      </c>
      <c r="B30" s="5" t="s">
        <v>39</v>
      </c>
      <c r="C30" s="6" t="n">
        <v>1</v>
      </c>
      <c r="D30" s="7" t="n">
        <f aca="false">Muck</f>
        <v>6</v>
      </c>
      <c r="E30" s="8"/>
      <c r="F30" s="8" t="s">
        <v>14</v>
      </c>
      <c r="G30" s="9"/>
      <c r="H30" s="9" t="n">
        <f aca="false">MAX(0,D30+G30)</f>
        <v>6</v>
      </c>
      <c r="I30" s="9" t="n">
        <f aca="false">IF(OR(C30="",H30=""),"",ROUNDUP(C30*H30^2/2,0))</f>
        <v>18</v>
      </c>
      <c r="J30" s="8" t="n">
        <f aca="false">TRUE()</f>
        <v>1</v>
      </c>
      <c r="K30" s="9" t="n">
        <f aca="false">IF(J30,I30,0)</f>
        <v>18</v>
      </c>
      <c r="L30" s="9" t="n">
        <f aca="false">IF(OR(C30="",D30=""),"",C30*D30*(D30+1)*(2*D30+1)/6)</f>
        <v>91</v>
      </c>
      <c r="N30" s="3" t="n">
        <f aca="false">+SUM(O30:Z30)</f>
        <v>182</v>
      </c>
      <c r="O30" s="1" t="n">
        <f aca="false">+IF($D30&gt;O$1-1,($G30+O$1)^2,0)*$C30*IF($F30="Optimization",2,1)</f>
        <v>2</v>
      </c>
      <c r="P30" s="1" t="n">
        <f aca="false">+IF($D30&gt;P$1-1,($G30+P$1)^2,0)*$C30*IF($F30="Optimization",2,1)</f>
        <v>8</v>
      </c>
      <c r="Q30" s="1" t="n">
        <f aca="false">+IF($D30&gt;Q$1-1,($G30+Q$1)^2,0)*$C30*IF($F30="Optimization",2,1)</f>
        <v>18</v>
      </c>
      <c r="R30" s="1" t="n">
        <f aca="false">+IF($D30&gt;R$1-1,($G30+R$1)^2,0)*$C30*IF($F30="Optimization",2,1)</f>
        <v>32</v>
      </c>
      <c r="S30" s="1" t="n">
        <f aca="false">+IF($D30&gt;S$1-1,($G30+S$1)^2,0)*$C30*IF($F30="Optimization",2,1)</f>
        <v>50</v>
      </c>
      <c r="T30" s="1" t="n">
        <f aca="false">+IF($D30&gt;T$1-1,($G30+T$1)^2,0)*$C30*IF($F30="Optimization",2,1)</f>
        <v>72</v>
      </c>
      <c r="U30" s="1" t="n">
        <f aca="false">+IF($D30&gt;U$1-1,($G30+U$1)^2,0)*$C30*IF($F30="Optimization",2,1)</f>
        <v>0</v>
      </c>
      <c r="V30" s="1" t="n">
        <f aca="false">+IF($D30&gt;V$1-1,($G30+V$1)^2,0)*$C30*IF($F30="Optimization",2,1)</f>
        <v>0</v>
      </c>
      <c r="W30" s="1" t="n">
        <f aca="false">+IF($D30&gt;W$1-1,($G30+W$1)^2,0)*$C30*IF($F30="Optimization",2,1)</f>
        <v>0</v>
      </c>
      <c r="X30" s="1" t="n">
        <f aca="false">+IF($D30&gt;X$1-1,($G30+X$1)^2,0)*$C30*IF($F30="Optimization",2,1)</f>
        <v>0</v>
      </c>
      <c r="Y30" s="1" t="n">
        <f aca="false">+IF($D30&gt;Y$1-1,($G30+Y$1)^2,0)*$C30*IF($F30="Optimization",2,1)</f>
        <v>0</v>
      </c>
      <c r="Z30" s="1" t="n">
        <f aca="false">+IF($D30&gt;Z$1-1,($G30+Z$1)^2,0)*$C30*IF($F30="Optimization",2,1)</f>
        <v>0</v>
      </c>
      <c r="AC30" s="1" t="str">
        <f aca="false">CONCATENATE(A30,"- ",F30,"-",E30)</f>
        <v>Operational- Optimization-</v>
      </c>
    </row>
    <row r="31" customFormat="false" ht="15" hidden="false" customHeight="false" outlineLevel="0" collapsed="false">
      <c r="A31" s="5" t="s">
        <v>34</v>
      </c>
      <c r="B31" s="5" t="s">
        <v>40</v>
      </c>
      <c r="C31" s="6" t="n">
        <v>3</v>
      </c>
      <c r="D31" s="7" t="n">
        <f aca="false">Muck</f>
        <v>6</v>
      </c>
      <c r="E31" s="8" t="s">
        <v>38</v>
      </c>
      <c r="F31" s="8" t="s">
        <v>14</v>
      </c>
      <c r="G31" s="9" t="n">
        <v>2</v>
      </c>
      <c r="H31" s="9" t="n">
        <f aca="false">MAX(0,D31+G31)</f>
        <v>8</v>
      </c>
      <c r="I31" s="9" t="n">
        <f aca="false">IF(OR(C31="",H31=""),"",ROUNDUP(C31*H31^2/2,0))</f>
        <v>96</v>
      </c>
      <c r="J31" s="8" t="n">
        <f aca="false">TRUE()</f>
        <v>1</v>
      </c>
      <c r="K31" s="9" t="n">
        <f aca="false">IF(J31,I31,0)</f>
        <v>96</v>
      </c>
      <c r="L31" s="9" t="n">
        <f aca="false">IF(OR(C31="",D31=""),"",C31*D31*(D31+1)*(2*D31+1)/6)</f>
        <v>273</v>
      </c>
      <c r="N31" s="3" t="n">
        <f aca="false">+SUM(O31:Z31)</f>
        <v>1194</v>
      </c>
      <c r="O31" s="1" t="n">
        <f aca="false">+IF($D31&gt;O$1-1,($G31+O$1)^2,0)*$C31*IF($F31="Optimization",2,1)</f>
        <v>54</v>
      </c>
      <c r="P31" s="1" t="n">
        <f aca="false">+IF($D31&gt;P$1-1,($G31+P$1)^2,0)*$C31*IF($F31="Optimization",2,1)</f>
        <v>96</v>
      </c>
      <c r="Q31" s="1" t="n">
        <f aca="false">+IF($D31&gt;Q$1-1,($G31+Q$1)^2,0)*$C31*IF($F31="Optimization",2,1)</f>
        <v>150</v>
      </c>
      <c r="R31" s="1" t="n">
        <f aca="false">+IF($D31&gt;R$1-1,($G31+R$1)^2,0)*$C31*IF($F31="Optimization",2,1)</f>
        <v>216</v>
      </c>
      <c r="S31" s="1" t="n">
        <f aca="false">+IF($D31&gt;S$1-1,($G31+S$1)^2,0)*$C31*IF($F31="Optimization",2,1)</f>
        <v>294</v>
      </c>
      <c r="T31" s="1" t="n">
        <f aca="false">+IF($D31&gt;T$1-1,($G31+T$1)^2,0)*$C31*IF($F31="Optimization",2,1)</f>
        <v>384</v>
      </c>
      <c r="U31" s="1" t="n">
        <f aca="false">+IF($D31&gt;U$1-1,($G31+U$1)^2,0)*$C31*IF($F31="Optimization",2,1)</f>
        <v>0</v>
      </c>
      <c r="V31" s="1" t="n">
        <f aca="false">+IF($D31&gt;V$1-1,($G31+V$1)^2,0)*$C31*IF($F31="Optimization",2,1)</f>
        <v>0</v>
      </c>
      <c r="W31" s="1" t="n">
        <f aca="false">+IF($D31&gt;W$1-1,($G31+W$1)^2,0)*$C31*IF($F31="Optimization",2,1)</f>
        <v>0</v>
      </c>
      <c r="X31" s="1" t="n">
        <f aca="false">+IF($D31&gt;X$1-1,($G31+X$1)^2,0)*$C31*IF($F31="Optimization",2,1)</f>
        <v>0</v>
      </c>
      <c r="Y31" s="1" t="n">
        <f aca="false">+IF($D31&gt;Y$1-1,($G31+Y$1)^2,0)*$C31*IF($F31="Optimization",2,1)</f>
        <v>0</v>
      </c>
      <c r="Z31" s="1" t="n">
        <f aca="false">+IF($D31&gt;Z$1-1,($G31+Z$1)^2,0)*$C31*IF($F31="Optimization",2,1)</f>
        <v>0</v>
      </c>
      <c r="AC31" s="1" t="str">
        <f aca="false">CONCATENATE(A31,"- ",F31,"-",E31)</f>
        <v>Operational- Optimization-Sneak</v>
      </c>
    </row>
    <row r="32" customFormat="false" ht="15" hidden="false" customHeight="false" outlineLevel="0" collapsed="false">
      <c r="A32" s="5" t="s">
        <v>34</v>
      </c>
      <c r="B32" s="5" t="s">
        <v>40</v>
      </c>
      <c r="C32" s="6" t="n">
        <v>3</v>
      </c>
      <c r="D32" s="7" t="n">
        <f aca="false">Muck</f>
        <v>6</v>
      </c>
      <c r="E32" s="8"/>
      <c r="F32" s="8" t="s">
        <v>14</v>
      </c>
      <c r="G32" s="9"/>
      <c r="H32" s="9" t="n">
        <f aca="false">MAX(0,D32+G32)</f>
        <v>6</v>
      </c>
      <c r="I32" s="9" t="n">
        <f aca="false">IF(OR(C32="",H32=""),"",ROUNDUP(C32*H32^2/2,0))</f>
        <v>54</v>
      </c>
      <c r="J32" s="8" t="n">
        <f aca="false">TRUE()</f>
        <v>1</v>
      </c>
      <c r="K32" s="9" t="n">
        <f aca="false">IF(J32,I32,0)</f>
        <v>54</v>
      </c>
      <c r="L32" s="9" t="n">
        <f aca="false">IF(OR(C32="",D32=""),"",C32*D32*(D32+1)*(2*D32+1)/6)</f>
        <v>273</v>
      </c>
      <c r="N32" s="3" t="n">
        <f aca="false">+SUM(O32:Z32)</f>
        <v>546</v>
      </c>
      <c r="O32" s="1" t="n">
        <f aca="false">+IF($D32&gt;O$1-1,($G32+O$1)^2,0)*$C32*IF($F32="Optimization",2,1)</f>
        <v>6</v>
      </c>
      <c r="P32" s="1" t="n">
        <f aca="false">+IF($D32&gt;P$1-1,($G32+P$1)^2,0)*$C32*IF($F32="Optimization",2,1)</f>
        <v>24</v>
      </c>
      <c r="Q32" s="1" t="n">
        <f aca="false">+IF($D32&gt;Q$1-1,($G32+Q$1)^2,0)*$C32*IF($F32="Optimization",2,1)</f>
        <v>54</v>
      </c>
      <c r="R32" s="1" t="n">
        <f aca="false">+IF($D32&gt;R$1-1,($G32+R$1)^2,0)*$C32*IF($F32="Optimization",2,1)</f>
        <v>96</v>
      </c>
      <c r="S32" s="1" t="n">
        <f aca="false">+IF($D32&gt;S$1-1,($G32+S$1)^2,0)*$C32*IF($F32="Optimization",2,1)</f>
        <v>150</v>
      </c>
      <c r="T32" s="1" t="n">
        <f aca="false">+IF($D32&gt;T$1-1,($G32+T$1)^2,0)*$C32*IF($F32="Optimization",2,1)</f>
        <v>216</v>
      </c>
      <c r="U32" s="1" t="n">
        <f aca="false">+IF($D32&gt;U$1-1,($G32+U$1)^2,0)*$C32*IF($F32="Optimization",2,1)</f>
        <v>0</v>
      </c>
      <c r="V32" s="1" t="n">
        <f aca="false">+IF($D32&gt;V$1-1,($G32+V$1)^2,0)*$C32*IF($F32="Optimization",2,1)</f>
        <v>0</v>
      </c>
      <c r="W32" s="1" t="n">
        <f aca="false">+IF($D32&gt;W$1-1,($G32+W$1)^2,0)*$C32*IF($F32="Optimization",2,1)</f>
        <v>0</v>
      </c>
      <c r="X32" s="1" t="n">
        <f aca="false">+IF($D32&gt;X$1-1,($G32+X$1)^2,0)*$C32*IF($F32="Optimization",2,1)</f>
        <v>0</v>
      </c>
      <c r="Y32" s="1" t="n">
        <f aca="false">+IF($D32&gt;Y$1-1,($G32+Y$1)^2,0)*$C32*IF($F32="Optimization",2,1)</f>
        <v>0</v>
      </c>
      <c r="Z32" s="1" t="n">
        <f aca="false">+IF($D32&gt;Z$1-1,($G32+Z$1)^2,0)*$C32*IF($F32="Optimization",2,1)</f>
        <v>0</v>
      </c>
      <c r="AC32" s="1" t="str">
        <f aca="false">CONCATENATE(A32,"- ",F32,"-",E32)</f>
        <v>Operational- Optimization-</v>
      </c>
    </row>
    <row r="33" customFormat="false" ht="15" hidden="false" customHeight="false" outlineLevel="0" collapsed="false">
      <c r="A33" s="5" t="s">
        <v>34</v>
      </c>
      <c r="B33" s="5" t="s">
        <v>41</v>
      </c>
      <c r="C33" s="6" t="n">
        <v>2</v>
      </c>
      <c r="D33" s="7" t="n">
        <f aca="false">Muck</f>
        <v>6</v>
      </c>
      <c r="E33" s="8" t="s">
        <v>38</v>
      </c>
      <c r="F33" s="8" t="s">
        <v>14</v>
      </c>
      <c r="G33" s="9" t="n">
        <v>2</v>
      </c>
      <c r="H33" s="9" t="n">
        <f aca="false">MAX(0,D33+G33)</f>
        <v>8</v>
      </c>
      <c r="I33" s="9" t="n">
        <f aca="false">IF(OR(C33="",H33=""),"",ROUNDUP(C33*H33^2/2,0))</f>
        <v>64</v>
      </c>
      <c r="J33" s="8" t="n">
        <f aca="false">TRUE()</f>
        <v>1</v>
      </c>
      <c r="K33" s="9" t="n">
        <f aca="false">IF(J33,I33,0)</f>
        <v>64</v>
      </c>
      <c r="L33" s="9" t="n">
        <f aca="false">IF(OR(C33="",D33=""),"",C33*D33*(D33+1)*(2*D33+1)/6)</f>
        <v>182</v>
      </c>
      <c r="N33" s="3" t="n">
        <f aca="false">+SUM(O33:Z33)</f>
        <v>796</v>
      </c>
      <c r="O33" s="1" t="n">
        <f aca="false">+IF($D33&gt;O$1-1,($G33+O$1)^2,0)*$C33*IF($F33="Optimization",2,1)</f>
        <v>36</v>
      </c>
      <c r="P33" s="1" t="n">
        <f aca="false">+IF($D33&gt;P$1-1,($G33+P$1)^2,0)*$C33*IF($F33="Optimization",2,1)</f>
        <v>64</v>
      </c>
      <c r="Q33" s="1" t="n">
        <f aca="false">+IF($D33&gt;Q$1-1,($G33+Q$1)^2,0)*$C33*IF($F33="Optimization",2,1)</f>
        <v>100</v>
      </c>
      <c r="R33" s="1" t="n">
        <f aca="false">+IF($D33&gt;R$1-1,($G33+R$1)^2,0)*$C33*IF($F33="Optimization",2,1)</f>
        <v>144</v>
      </c>
      <c r="S33" s="1" t="n">
        <f aca="false">+IF($D33&gt;S$1-1,($G33+S$1)^2,0)*$C33*IF($F33="Optimization",2,1)</f>
        <v>196</v>
      </c>
      <c r="T33" s="1" t="n">
        <f aca="false">+IF($D33&gt;T$1-1,($G33+T$1)^2,0)*$C33*IF($F33="Optimization",2,1)</f>
        <v>256</v>
      </c>
      <c r="U33" s="1" t="n">
        <f aca="false">+IF($D33&gt;U$1-1,($G33+U$1)^2,0)*$C33*IF($F33="Optimization",2,1)</f>
        <v>0</v>
      </c>
      <c r="V33" s="1" t="n">
        <f aca="false">+IF($D33&gt;V$1-1,($G33+V$1)^2,0)*$C33*IF($F33="Optimization",2,1)</f>
        <v>0</v>
      </c>
      <c r="W33" s="1" t="n">
        <f aca="false">+IF($D33&gt;W$1-1,($G33+W$1)^2,0)*$C33*IF($F33="Optimization",2,1)</f>
        <v>0</v>
      </c>
      <c r="X33" s="1" t="n">
        <f aca="false">+IF($D33&gt;X$1-1,($G33+X$1)^2,0)*$C33*IF($F33="Optimization",2,1)</f>
        <v>0</v>
      </c>
      <c r="Y33" s="1" t="n">
        <f aca="false">+IF($D33&gt;Y$1-1,($G33+Y$1)^2,0)*$C33*IF($F33="Optimization",2,1)</f>
        <v>0</v>
      </c>
      <c r="Z33" s="1" t="n">
        <f aca="false">+IF($D33&gt;Z$1-1,($G33+Z$1)^2,0)*$C33*IF($F33="Optimization",2,1)</f>
        <v>0</v>
      </c>
      <c r="AC33" s="1" t="str">
        <f aca="false">CONCATENATE(A33,"- ",F33,"-",E33)</f>
        <v>Operational- Optimization-Sneak</v>
      </c>
    </row>
    <row r="34" customFormat="false" ht="15" hidden="false" customHeight="false" outlineLevel="0" collapsed="false">
      <c r="A34" s="5" t="s">
        <v>34</v>
      </c>
      <c r="B34" s="5" t="s">
        <v>41</v>
      </c>
      <c r="C34" s="6" t="n">
        <v>2</v>
      </c>
      <c r="D34" s="7" t="n">
        <f aca="false">Muck</f>
        <v>6</v>
      </c>
      <c r="E34" s="8"/>
      <c r="F34" s="8" t="s">
        <v>14</v>
      </c>
      <c r="G34" s="9"/>
      <c r="H34" s="9" t="n">
        <f aca="false">MAX(0,D34+G34)</f>
        <v>6</v>
      </c>
      <c r="I34" s="9" t="n">
        <f aca="false">IF(OR(C34="",H34=""),"",ROUNDUP(C34*H34^2/2,0))</f>
        <v>36</v>
      </c>
      <c r="J34" s="8" t="n">
        <f aca="false">TRUE()</f>
        <v>1</v>
      </c>
      <c r="K34" s="9" t="n">
        <f aca="false">IF(J34,I34,0)</f>
        <v>36</v>
      </c>
      <c r="L34" s="9" t="n">
        <f aca="false">IF(OR(C34="",D34=""),"",C34*D34*(D34+1)*(2*D34+1)/6)</f>
        <v>182</v>
      </c>
      <c r="N34" s="3" t="n">
        <f aca="false">+SUM(O34:Z34)</f>
        <v>364</v>
      </c>
      <c r="O34" s="1" t="n">
        <f aca="false">+IF($D34&gt;O$1-1,($G34+O$1)^2,0)*$C34*IF($F34="Optimization",2,1)</f>
        <v>4</v>
      </c>
      <c r="P34" s="1" t="n">
        <f aca="false">+IF($D34&gt;P$1-1,($G34+P$1)^2,0)*$C34*IF($F34="Optimization",2,1)</f>
        <v>16</v>
      </c>
      <c r="Q34" s="1" t="n">
        <f aca="false">+IF($D34&gt;Q$1-1,($G34+Q$1)^2,0)*$C34*IF($F34="Optimization",2,1)</f>
        <v>36</v>
      </c>
      <c r="R34" s="1" t="n">
        <f aca="false">+IF($D34&gt;R$1-1,($G34+R$1)^2,0)*$C34*IF($F34="Optimization",2,1)</f>
        <v>64</v>
      </c>
      <c r="S34" s="1" t="n">
        <f aca="false">+IF($D34&gt;S$1-1,($G34+S$1)^2,0)*$C34*IF($F34="Optimization",2,1)</f>
        <v>100</v>
      </c>
      <c r="T34" s="1" t="n">
        <f aca="false">+IF($D34&gt;T$1-1,($G34+T$1)^2,0)*$C34*IF($F34="Optimization",2,1)</f>
        <v>144</v>
      </c>
      <c r="U34" s="1" t="n">
        <f aca="false">+IF($D34&gt;U$1-1,($G34+U$1)^2,0)*$C34*IF($F34="Optimization",2,1)</f>
        <v>0</v>
      </c>
      <c r="V34" s="1" t="n">
        <f aca="false">+IF($D34&gt;V$1-1,($G34+V$1)^2,0)*$C34*IF($F34="Optimization",2,1)</f>
        <v>0</v>
      </c>
      <c r="W34" s="1" t="n">
        <f aca="false">+IF($D34&gt;W$1-1,($G34+W$1)^2,0)*$C34*IF($F34="Optimization",2,1)</f>
        <v>0</v>
      </c>
      <c r="X34" s="1" t="n">
        <f aca="false">+IF($D34&gt;X$1-1,($G34+X$1)^2,0)*$C34*IF($F34="Optimization",2,1)</f>
        <v>0</v>
      </c>
      <c r="Y34" s="1" t="n">
        <f aca="false">+IF($D34&gt;Y$1-1,($G34+Y$1)^2,0)*$C34*IF($F34="Optimization",2,1)</f>
        <v>0</v>
      </c>
      <c r="Z34" s="1" t="n">
        <f aca="false">+IF($D34&gt;Z$1-1,($G34+Z$1)^2,0)*$C34*IF($F34="Optimization",2,1)</f>
        <v>0</v>
      </c>
      <c r="AC34" s="1" t="str">
        <f aca="false">CONCATENATE(A34,"- ",F34,"-",E34)</f>
        <v>Operational- Optimization-</v>
      </c>
    </row>
    <row r="35" customFormat="false" ht="15" hidden="false" customHeight="false" outlineLevel="0" collapsed="false">
      <c r="A35" s="5" t="s">
        <v>34</v>
      </c>
      <c r="B35" s="5" t="s">
        <v>42</v>
      </c>
      <c r="C35" s="6" t="n">
        <v>1</v>
      </c>
      <c r="D35" s="7" t="n">
        <f aca="false">Muck</f>
        <v>6</v>
      </c>
      <c r="E35" s="8" t="s">
        <v>38</v>
      </c>
      <c r="F35" s="8" t="s">
        <v>14</v>
      </c>
      <c r="G35" s="9" t="n">
        <v>2</v>
      </c>
      <c r="H35" s="9" t="n">
        <f aca="false">MAX(0,D35+G35)</f>
        <v>8</v>
      </c>
      <c r="I35" s="9" t="n">
        <f aca="false">IF(OR(C35="",H35=""),"",ROUNDUP(C35*H35^2/2,0))</f>
        <v>32</v>
      </c>
      <c r="J35" s="8" t="n">
        <f aca="false">TRUE()</f>
        <v>1</v>
      </c>
      <c r="K35" s="9" t="n">
        <f aca="false">IF(J35,I35,0)</f>
        <v>32</v>
      </c>
      <c r="L35" s="9" t="n">
        <f aca="false">IF(OR(C35="",D35=""),"",C35*D35*(D35+1)*(2*D35+1)/6)</f>
        <v>91</v>
      </c>
      <c r="N35" s="3" t="n">
        <f aca="false">+SUM(O35:Z35)</f>
        <v>398</v>
      </c>
      <c r="O35" s="1" t="n">
        <f aca="false">+IF($D35&gt;O$1-1,($G35+O$1)^2,0)*$C35*IF($F35="Optimization",2,1)</f>
        <v>18</v>
      </c>
      <c r="P35" s="1" t="n">
        <f aca="false">+IF($D35&gt;P$1-1,($G35+P$1)^2,0)*$C35*IF($F35="Optimization",2,1)</f>
        <v>32</v>
      </c>
      <c r="Q35" s="1" t="n">
        <f aca="false">+IF($D35&gt;Q$1-1,($G35+Q$1)^2,0)*$C35*IF($F35="Optimization",2,1)</f>
        <v>50</v>
      </c>
      <c r="R35" s="1" t="n">
        <f aca="false">+IF($D35&gt;R$1-1,($G35+R$1)^2,0)*$C35*IF($F35="Optimization",2,1)</f>
        <v>72</v>
      </c>
      <c r="S35" s="1" t="n">
        <f aca="false">+IF($D35&gt;S$1-1,($G35+S$1)^2,0)*$C35*IF($F35="Optimization",2,1)</f>
        <v>98</v>
      </c>
      <c r="T35" s="1" t="n">
        <f aca="false">+IF($D35&gt;T$1-1,($G35+T$1)^2,0)*$C35*IF($F35="Optimization",2,1)</f>
        <v>128</v>
      </c>
      <c r="U35" s="1" t="n">
        <f aca="false">+IF($D35&gt;U$1-1,($G35+U$1)^2,0)*$C35*IF($F35="Optimization",2,1)</f>
        <v>0</v>
      </c>
      <c r="V35" s="1" t="n">
        <f aca="false">+IF($D35&gt;V$1-1,($G35+V$1)^2,0)*$C35*IF($F35="Optimization",2,1)</f>
        <v>0</v>
      </c>
      <c r="W35" s="1" t="n">
        <f aca="false">+IF($D35&gt;W$1-1,($G35+W$1)^2,0)*$C35*IF($F35="Optimization",2,1)</f>
        <v>0</v>
      </c>
      <c r="X35" s="1" t="n">
        <f aca="false">+IF($D35&gt;X$1-1,($G35+X$1)^2,0)*$C35*IF($F35="Optimization",2,1)</f>
        <v>0</v>
      </c>
      <c r="Y35" s="1" t="n">
        <f aca="false">+IF($D35&gt;Y$1-1,($G35+Y$1)^2,0)*$C35*IF($F35="Optimization",2,1)</f>
        <v>0</v>
      </c>
      <c r="Z35" s="1" t="n">
        <f aca="false">+IF($D35&gt;Z$1-1,($G35+Z$1)^2,0)*$C35*IF($F35="Optimization",2,1)</f>
        <v>0</v>
      </c>
      <c r="AC35" s="1" t="str">
        <f aca="false">CONCATENATE(A35,"- ",F35,"-",E35)</f>
        <v>Operational- Optimization-Sneak</v>
      </c>
    </row>
    <row r="36" customFormat="false" ht="15" hidden="false" customHeight="false" outlineLevel="0" collapsed="false">
      <c r="A36" s="5" t="s">
        <v>34</v>
      </c>
      <c r="B36" s="5" t="s">
        <v>42</v>
      </c>
      <c r="C36" s="6" t="n">
        <v>1</v>
      </c>
      <c r="D36" s="7" t="n">
        <f aca="false">Muck</f>
        <v>6</v>
      </c>
      <c r="E36" s="8"/>
      <c r="F36" s="8" t="s">
        <v>14</v>
      </c>
      <c r="G36" s="9"/>
      <c r="H36" s="9" t="n">
        <f aca="false">MAX(0,D36+G36)</f>
        <v>6</v>
      </c>
      <c r="I36" s="9" t="n">
        <f aca="false">IF(OR(C36="",H36=""),"",ROUNDUP(C36*H36^2/2,0))</f>
        <v>18</v>
      </c>
      <c r="J36" s="8" t="n">
        <f aca="false">TRUE()</f>
        <v>1</v>
      </c>
      <c r="K36" s="9" t="n">
        <f aca="false">IF(J36,I36,0)</f>
        <v>18</v>
      </c>
      <c r="L36" s="9" t="n">
        <f aca="false">IF(OR(C36="",D36=""),"",C36*D36*(D36+1)*(2*D36+1)/6)</f>
        <v>91</v>
      </c>
      <c r="N36" s="3" t="n">
        <f aca="false">+SUM(O36:Z36)</f>
        <v>182</v>
      </c>
      <c r="O36" s="1" t="n">
        <f aca="false">+IF($D36&gt;O$1-1,($G36+O$1)^2,0)*$C36*IF($F36="Optimization",2,1)</f>
        <v>2</v>
      </c>
      <c r="P36" s="1" t="n">
        <f aca="false">+IF($D36&gt;P$1-1,($G36+P$1)^2,0)*$C36*IF($F36="Optimization",2,1)</f>
        <v>8</v>
      </c>
      <c r="Q36" s="1" t="n">
        <f aca="false">+IF($D36&gt;Q$1-1,($G36+Q$1)^2,0)*$C36*IF($F36="Optimization",2,1)</f>
        <v>18</v>
      </c>
      <c r="R36" s="1" t="n">
        <f aca="false">+IF($D36&gt;R$1-1,($G36+R$1)^2,0)*$C36*IF($F36="Optimization",2,1)</f>
        <v>32</v>
      </c>
      <c r="S36" s="1" t="n">
        <f aca="false">+IF($D36&gt;S$1-1,($G36+S$1)^2,0)*$C36*IF($F36="Optimization",2,1)</f>
        <v>50</v>
      </c>
      <c r="T36" s="1" t="n">
        <f aca="false">+IF($D36&gt;T$1-1,($G36+T$1)^2,0)*$C36*IF($F36="Optimization",2,1)</f>
        <v>72</v>
      </c>
      <c r="U36" s="1" t="n">
        <f aca="false">+IF($D36&gt;U$1-1,($G36+U$1)^2,0)*$C36*IF($F36="Optimization",2,1)</f>
        <v>0</v>
      </c>
      <c r="V36" s="1" t="n">
        <f aca="false">+IF($D36&gt;V$1-1,($G36+V$1)^2,0)*$C36*IF($F36="Optimization",2,1)</f>
        <v>0</v>
      </c>
      <c r="W36" s="1" t="n">
        <f aca="false">+IF($D36&gt;W$1-1,($G36+W$1)^2,0)*$C36*IF($F36="Optimization",2,1)</f>
        <v>0</v>
      </c>
      <c r="X36" s="1" t="n">
        <f aca="false">+IF($D36&gt;X$1-1,($G36+X$1)^2,0)*$C36*IF($F36="Optimization",2,1)</f>
        <v>0</v>
      </c>
      <c r="Y36" s="1" t="n">
        <f aca="false">+IF($D36&gt;Y$1-1,($G36+Y$1)^2,0)*$C36*IF($F36="Optimization",2,1)</f>
        <v>0</v>
      </c>
      <c r="Z36" s="1" t="n">
        <f aca="false">+IF($D36&gt;Z$1-1,($G36+Z$1)^2,0)*$C36*IF($F36="Optimization",2,1)</f>
        <v>0</v>
      </c>
      <c r="AC36" s="1" t="str">
        <f aca="false">CONCATENATE(A36,"- ",F36,"-",E36)</f>
        <v>Operational- Optimization-</v>
      </c>
    </row>
    <row r="37" customFormat="false" ht="15" hidden="false" customHeight="false" outlineLevel="0" collapsed="false">
      <c r="A37" s="5" t="s">
        <v>34</v>
      </c>
      <c r="B37" s="5" t="s">
        <v>43</v>
      </c>
      <c r="C37" s="6" t="n">
        <v>2</v>
      </c>
      <c r="D37" s="7" t="n">
        <f aca="false">Muck</f>
        <v>6</v>
      </c>
      <c r="E37" s="8" t="s">
        <v>38</v>
      </c>
      <c r="F37" s="8" t="s">
        <v>14</v>
      </c>
      <c r="G37" s="9" t="n">
        <v>2</v>
      </c>
      <c r="H37" s="9" t="n">
        <f aca="false">MAX(0,D37+G37)</f>
        <v>8</v>
      </c>
      <c r="I37" s="9" t="n">
        <f aca="false">IF(OR(C37="",H37=""),"",ROUNDUP(C37*H37^2/2,0))</f>
        <v>64</v>
      </c>
      <c r="J37" s="8" t="n">
        <f aca="false">TRUE()</f>
        <v>1</v>
      </c>
      <c r="K37" s="9" t="n">
        <f aca="false">IF(J37,I37,0)</f>
        <v>64</v>
      </c>
      <c r="L37" s="9" t="n">
        <f aca="false">IF(OR(C37="",D37=""),"",C37*D37*(D37+1)*(2*D37+1)/6)</f>
        <v>182</v>
      </c>
      <c r="N37" s="3" t="n">
        <f aca="false">+SUM(O37:Z37)</f>
        <v>796</v>
      </c>
      <c r="O37" s="1" t="n">
        <f aca="false">+IF($D37&gt;O$1-1,($G37+O$1)^2,0)*$C37*IF($F37="Optimization",2,1)</f>
        <v>36</v>
      </c>
      <c r="P37" s="1" t="n">
        <f aca="false">+IF($D37&gt;P$1-1,($G37+P$1)^2,0)*$C37*IF($F37="Optimization",2,1)</f>
        <v>64</v>
      </c>
      <c r="Q37" s="1" t="n">
        <f aca="false">+IF($D37&gt;Q$1-1,($G37+Q$1)^2,0)*$C37*IF($F37="Optimization",2,1)</f>
        <v>100</v>
      </c>
      <c r="R37" s="1" t="n">
        <f aca="false">+IF($D37&gt;R$1-1,($G37+R$1)^2,0)*$C37*IF($F37="Optimization",2,1)</f>
        <v>144</v>
      </c>
      <c r="S37" s="1" t="n">
        <f aca="false">+IF($D37&gt;S$1-1,($G37+S$1)^2,0)*$C37*IF($F37="Optimization",2,1)</f>
        <v>196</v>
      </c>
      <c r="T37" s="1" t="n">
        <f aca="false">+IF($D37&gt;T$1-1,($G37+T$1)^2,0)*$C37*IF($F37="Optimization",2,1)</f>
        <v>256</v>
      </c>
      <c r="U37" s="1" t="n">
        <f aca="false">+IF($D37&gt;U$1-1,($G37+U$1)^2,0)*$C37*IF($F37="Optimization",2,1)</f>
        <v>0</v>
      </c>
      <c r="V37" s="1" t="n">
        <f aca="false">+IF($D37&gt;V$1-1,($G37+V$1)^2,0)*$C37*IF($F37="Optimization",2,1)</f>
        <v>0</v>
      </c>
      <c r="W37" s="1" t="n">
        <f aca="false">+IF($D37&gt;W$1-1,($G37+W$1)^2,0)*$C37*IF($F37="Optimization",2,1)</f>
        <v>0</v>
      </c>
      <c r="X37" s="1" t="n">
        <f aca="false">+IF($D37&gt;X$1-1,($G37+X$1)^2,0)*$C37*IF($F37="Optimization",2,1)</f>
        <v>0</v>
      </c>
      <c r="Y37" s="1" t="n">
        <f aca="false">+IF($D37&gt;Y$1-1,($G37+Y$1)^2,0)*$C37*IF($F37="Optimization",2,1)</f>
        <v>0</v>
      </c>
      <c r="Z37" s="1" t="n">
        <f aca="false">+IF($D37&gt;Z$1-1,($G37+Z$1)^2,0)*$C37*IF($F37="Optimization",2,1)</f>
        <v>0</v>
      </c>
      <c r="AC37" s="1" t="str">
        <f aca="false">CONCATENATE(A37,"- ",F37,"-",E37)</f>
        <v>Operational- Optimization-Sneak</v>
      </c>
    </row>
    <row r="38" customFormat="false" ht="15" hidden="false" customHeight="false" outlineLevel="0" collapsed="false">
      <c r="A38" s="5" t="s">
        <v>34</v>
      </c>
      <c r="B38" s="5" t="s">
        <v>43</v>
      </c>
      <c r="C38" s="6" t="n">
        <v>2</v>
      </c>
      <c r="D38" s="7" t="n">
        <f aca="false">Muck</f>
        <v>6</v>
      </c>
      <c r="E38" s="8"/>
      <c r="F38" s="8" t="s">
        <v>14</v>
      </c>
      <c r="G38" s="9"/>
      <c r="H38" s="9" t="n">
        <f aca="false">MAX(0,D38+G38)</f>
        <v>6</v>
      </c>
      <c r="I38" s="9" t="n">
        <f aca="false">IF(OR(C38="",H38=""),"",ROUNDUP(C38*H38^2/2,0))</f>
        <v>36</v>
      </c>
      <c r="J38" s="8" t="n">
        <f aca="false">TRUE()</f>
        <v>1</v>
      </c>
      <c r="K38" s="9" t="n">
        <f aca="false">IF(J38,I38,0)</f>
        <v>36</v>
      </c>
      <c r="L38" s="9" t="n">
        <f aca="false">IF(OR(C38="",D38=""),"",C38*D38*(D38+1)*(2*D38+1)/6)</f>
        <v>182</v>
      </c>
      <c r="N38" s="3" t="n">
        <f aca="false">+SUM(O38:Z38)</f>
        <v>364</v>
      </c>
      <c r="O38" s="1" t="n">
        <f aca="false">+IF($D38&gt;O$1-1,($G38+O$1)^2,0)*$C38*IF($F38="Optimization",2,1)</f>
        <v>4</v>
      </c>
      <c r="P38" s="1" t="n">
        <f aca="false">+IF($D38&gt;P$1-1,($G38+P$1)^2,0)*$C38*IF($F38="Optimization",2,1)</f>
        <v>16</v>
      </c>
      <c r="Q38" s="1" t="n">
        <f aca="false">+IF($D38&gt;Q$1-1,($G38+Q$1)^2,0)*$C38*IF($F38="Optimization",2,1)</f>
        <v>36</v>
      </c>
      <c r="R38" s="1" t="n">
        <f aca="false">+IF($D38&gt;R$1-1,($G38+R$1)^2,0)*$C38*IF($F38="Optimization",2,1)</f>
        <v>64</v>
      </c>
      <c r="S38" s="1" t="n">
        <f aca="false">+IF($D38&gt;S$1-1,($G38+S$1)^2,0)*$C38*IF($F38="Optimization",2,1)</f>
        <v>100</v>
      </c>
      <c r="T38" s="1" t="n">
        <f aca="false">+IF($D38&gt;T$1-1,($G38+T$1)^2,0)*$C38*IF($F38="Optimization",2,1)</f>
        <v>144</v>
      </c>
      <c r="U38" s="1" t="n">
        <f aca="false">+IF($D38&gt;U$1-1,($G38+U$1)^2,0)*$C38*IF($F38="Optimization",2,1)</f>
        <v>0</v>
      </c>
      <c r="V38" s="1" t="n">
        <f aca="false">+IF($D38&gt;V$1-1,($G38+V$1)^2,0)*$C38*IF($F38="Optimization",2,1)</f>
        <v>0</v>
      </c>
      <c r="W38" s="1" t="n">
        <f aca="false">+IF($D38&gt;W$1-1,($G38+W$1)^2,0)*$C38*IF($F38="Optimization",2,1)</f>
        <v>0</v>
      </c>
      <c r="X38" s="1" t="n">
        <f aca="false">+IF($D38&gt;X$1-1,($G38+X$1)^2,0)*$C38*IF($F38="Optimization",2,1)</f>
        <v>0</v>
      </c>
      <c r="Y38" s="1" t="n">
        <f aca="false">+IF($D38&gt;Y$1-1,($G38+Y$1)^2,0)*$C38*IF($F38="Optimization",2,1)</f>
        <v>0</v>
      </c>
      <c r="Z38" s="1" t="n">
        <f aca="false">+IF($D38&gt;Z$1-1,($G38+Z$1)^2,0)*$C38*IF($F38="Optimization",2,1)</f>
        <v>0</v>
      </c>
      <c r="AC38" s="1" t="str">
        <f aca="false">CONCATENATE(A38,"- ",F38,"-",E38)</f>
        <v>Operational- Optimization-</v>
      </c>
    </row>
    <row r="39" customFormat="false" ht="15" hidden="false" customHeight="false" outlineLevel="0" collapsed="false">
      <c r="A39" s="5" t="s">
        <v>34</v>
      </c>
      <c r="B39" s="5" t="s">
        <v>44</v>
      </c>
      <c r="C39" s="6" t="n">
        <v>2</v>
      </c>
      <c r="D39" s="7" t="n">
        <f aca="false">Muck</f>
        <v>6</v>
      </c>
      <c r="E39" s="8" t="s">
        <v>38</v>
      </c>
      <c r="F39" s="8" t="s">
        <v>14</v>
      </c>
      <c r="G39" s="9" t="n">
        <v>2</v>
      </c>
      <c r="H39" s="9" t="n">
        <f aca="false">MAX(0,D39+G39)</f>
        <v>8</v>
      </c>
      <c r="I39" s="9" t="n">
        <f aca="false">IF(OR(C39="",H39=""),"",ROUNDUP(C39*H39^2/2,0))</f>
        <v>64</v>
      </c>
      <c r="J39" s="8" t="n">
        <f aca="false">TRUE()</f>
        <v>1</v>
      </c>
      <c r="K39" s="9" t="n">
        <f aca="false">IF(J39,I39,0)</f>
        <v>64</v>
      </c>
      <c r="L39" s="9" t="n">
        <f aca="false">IF(OR(C39="",D39=""),"",C39*D39*(D39+1)*(2*D39+1)/6)</f>
        <v>182</v>
      </c>
      <c r="N39" s="3" t="n">
        <f aca="false">+SUM(O39:Z39)</f>
        <v>796</v>
      </c>
      <c r="O39" s="1" t="n">
        <f aca="false">+IF($D39&gt;O$1-1,($G39+O$1)^2,0)*$C39*IF($F39="Optimization",2,1)</f>
        <v>36</v>
      </c>
      <c r="P39" s="1" t="n">
        <f aca="false">+IF($D39&gt;P$1-1,($G39+P$1)^2,0)*$C39*IF($F39="Optimization",2,1)</f>
        <v>64</v>
      </c>
      <c r="Q39" s="1" t="n">
        <f aca="false">+IF($D39&gt;Q$1-1,($G39+Q$1)^2,0)*$C39*IF($F39="Optimization",2,1)</f>
        <v>100</v>
      </c>
      <c r="R39" s="1" t="n">
        <f aca="false">+IF($D39&gt;R$1-1,($G39+R$1)^2,0)*$C39*IF($F39="Optimization",2,1)</f>
        <v>144</v>
      </c>
      <c r="S39" s="1" t="n">
        <f aca="false">+IF($D39&gt;S$1-1,($G39+S$1)^2,0)*$C39*IF($F39="Optimization",2,1)</f>
        <v>196</v>
      </c>
      <c r="T39" s="1" t="n">
        <f aca="false">+IF($D39&gt;T$1-1,($G39+T$1)^2,0)*$C39*IF($F39="Optimization",2,1)</f>
        <v>256</v>
      </c>
      <c r="U39" s="1" t="n">
        <f aca="false">+IF($D39&gt;U$1-1,($G39+U$1)^2,0)*$C39*IF($F39="Optimization",2,1)</f>
        <v>0</v>
      </c>
      <c r="V39" s="1" t="n">
        <f aca="false">+IF($D39&gt;V$1-1,($G39+V$1)^2,0)*$C39*IF($F39="Optimization",2,1)</f>
        <v>0</v>
      </c>
      <c r="W39" s="1" t="n">
        <f aca="false">+IF($D39&gt;W$1-1,($G39+W$1)^2,0)*$C39*IF($F39="Optimization",2,1)</f>
        <v>0</v>
      </c>
      <c r="X39" s="1" t="n">
        <f aca="false">+IF($D39&gt;X$1-1,($G39+X$1)^2,0)*$C39*IF($F39="Optimization",2,1)</f>
        <v>0</v>
      </c>
      <c r="Y39" s="1" t="n">
        <f aca="false">+IF($D39&gt;Y$1-1,($G39+Y$1)^2,0)*$C39*IF($F39="Optimization",2,1)</f>
        <v>0</v>
      </c>
      <c r="Z39" s="1" t="n">
        <f aca="false">+IF($D39&gt;Z$1-1,($G39+Z$1)^2,0)*$C39*IF($F39="Optimization",2,1)</f>
        <v>0</v>
      </c>
      <c r="AC39" s="1" t="str">
        <f aca="false">CONCATENATE(A39,"- ",F39,"-",E39)</f>
        <v>Operational- Optimization-Sneak</v>
      </c>
    </row>
    <row r="40" customFormat="false" ht="15" hidden="false" customHeight="false" outlineLevel="0" collapsed="false">
      <c r="A40" s="5" t="s">
        <v>34</v>
      </c>
      <c r="B40" s="5" t="s">
        <v>44</v>
      </c>
      <c r="C40" s="6" t="n">
        <v>2</v>
      </c>
      <c r="D40" s="7" t="n">
        <f aca="false">Muck</f>
        <v>6</v>
      </c>
      <c r="E40" s="8"/>
      <c r="F40" s="8" t="s">
        <v>14</v>
      </c>
      <c r="G40" s="9"/>
      <c r="H40" s="9" t="n">
        <f aca="false">MAX(0,D40+G40)</f>
        <v>6</v>
      </c>
      <c r="I40" s="9" t="n">
        <f aca="false">IF(OR(C40="",H40=""),"",ROUNDUP(C40*H40^2/2,0))</f>
        <v>36</v>
      </c>
      <c r="J40" s="8" t="n">
        <f aca="false">TRUE()</f>
        <v>1</v>
      </c>
      <c r="K40" s="9" t="n">
        <f aca="false">IF(J40,I40,0)</f>
        <v>36</v>
      </c>
      <c r="L40" s="9" t="n">
        <f aca="false">IF(OR(C40="",D40=""),"",C40*D40*(D40+1)*(2*D40+1)/6)</f>
        <v>182</v>
      </c>
      <c r="N40" s="3" t="n">
        <f aca="false">+SUM(O40:Z40)</f>
        <v>364</v>
      </c>
      <c r="O40" s="1" t="n">
        <f aca="false">+IF($D40&gt;O$1-1,($G40+O$1)^2,0)*$C40*IF($F40="Optimization",2,1)</f>
        <v>4</v>
      </c>
      <c r="P40" s="1" t="n">
        <f aca="false">+IF($D40&gt;P$1-1,($G40+P$1)^2,0)*$C40*IF($F40="Optimization",2,1)</f>
        <v>16</v>
      </c>
      <c r="Q40" s="1" t="n">
        <f aca="false">+IF($D40&gt;Q$1-1,($G40+Q$1)^2,0)*$C40*IF($F40="Optimization",2,1)</f>
        <v>36</v>
      </c>
      <c r="R40" s="1" t="n">
        <f aca="false">+IF($D40&gt;R$1-1,($G40+R$1)^2,0)*$C40*IF($F40="Optimization",2,1)</f>
        <v>64</v>
      </c>
      <c r="S40" s="1" t="n">
        <f aca="false">+IF($D40&gt;S$1-1,($G40+S$1)^2,0)*$C40*IF($F40="Optimization",2,1)</f>
        <v>100</v>
      </c>
      <c r="T40" s="1" t="n">
        <f aca="false">+IF($D40&gt;T$1-1,($G40+T$1)^2,0)*$C40*IF($F40="Optimization",2,1)</f>
        <v>144</v>
      </c>
      <c r="U40" s="1" t="n">
        <f aca="false">+IF($D40&gt;U$1-1,($G40+U$1)^2,0)*$C40*IF($F40="Optimization",2,1)</f>
        <v>0</v>
      </c>
      <c r="V40" s="1" t="n">
        <f aca="false">+IF($D40&gt;V$1-1,($G40+V$1)^2,0)*$C40*IF($F40="Optimization",2,1)</f>
        <v>0</v>
      </c>
      <c r="W40" s="1" t="n">
        <f aca="false">+IF($D40&gt;W$1-1,($G40+W$1)^2,0)*$C40*IF($F40="Optimization",2,1)</f>
        <v>0</v>
      </c>
      <c r="X40" s="1" t="n">
        <f aca="false">+IF($D40&gt;X$1-1,($G40+X$1)^2,0)*$C40*IF($F40="Optimization",2,1)</f>
        <v>0</v>
      </c>
      <c r="Y40" s="1" t="n">
        <f aca="false">+IF($D40&gt;Y$1-1,($G40+Y$1)^2,0)*$C40*IF($F40="Optimization",2,1)</f>
        <v>0</v>
      </c>
      <c r="Z40" s="1" t="n">
        <f aca="false">+IF($D40&gt;Z$1-1,($G40+Z$1)^2,0)*$C40*IF($F40="Optimization",2,1)</f>
        <v>0</v>
      </c>
      <c r="AC40" s="1" t="str">
        <f aca="false">CONCATENATE(A40,"- ",F40,"-",E40)</f>
        <v>Operational- Optimization-</v>
      </c>
    </row>
    <row r="41" customFormat="false" ht="15" hidden="false" customHeight="false" outlineLevel="0" collapsed="false">
      <c r="A41" s="5" t="s">
        <v>34</v>
      </c>
      <c r="B41" s="5" t="s">
        <v>45</v>
      </c>
      <c r="C41" s="6" t="n">
        <v>1</v>
      </c>
      <c r="D41" s="7" t="n">
        <f aca="false">Muck</f>
        <v>6</v>
      </c>
      <c r="E41" s="8" t="s">
        <v>38</v>
      </c>
      <c r="F41" s="8" t="s">
        <v>14</v>
      </c>
      <c r="G41" s="9" t="n">
        <v>2</v>
      </c>
      <c r="H41" s="9" t="n">
        <f aca="false">MAX(0,D41+G41)</f>
        <v>8</v>
      </c>
      <c r="I41" s="9" t="n">
        <f aca="false">IF(OR(C41="",H41=""),"",ROUNDUP(C41*H41^2/2,0))</f>
        <v>32</v>
      </c>
      <c r="J41" s="8" t="n">
        <f aca="false">TRUE()</f>
        <v>1</v>
      </c>
      <c r="K41" s="9" t="n">
        <f aca="false">IF(J41,I41,0)</f>
        <v>32</v>
      </c>
      <c r="L41" s="9" t="n">
        <f aca="false">IF(OR(C41="",D41=""),"",C41*D41*(D41+1)*(2*D41+1)/6)</f>
        <v>91</v>
      </c>
      <c r="N41" s="3" t="n">
        <f aca="false">+SUM(O41:Z41)</f>
        <v>398</v>
      </c>
      <c r="O41" s="1" t="n">
        <f aca="false">+IF($D41&gt;O$1-1,($G41+O$1)^2,0)*$C41*IF($F41="Optimization",2,1)</f>
        <v>18</v>
      </c>
      <c r="P41" s="1" t="n">
        <f aca="false">+IF($D41&gt;P$1-1,($G41+P$1)^2,0)*$C41*IF($F41="Optimization",2,1)</f>
        <v>32</v>
      </c>
      <c r="Q41" s="1" t="n">
        <f aca="false">+IF($D41&gt;Q$1-1,($G41+Q$1)^2,0)*$C41*IF($F41="Optimization",2,1)</f>
        <v>50</v>
      </c>
      <c r="R41" s="1" t="n">
        <f aca="false">+IF($D41&gt;R$1-1,($G41+R$1)^2,0)*$C41*IF($F41="Optimization",2,1)</f>
        <v>72</v>
      </c>
      <c r="S41" s="1" t="n">
        <f aca="false">+IF($D41&gt;S$1-1,($G41+S$1)^2,0)*$C41*IF($F41="Optimization",2,1)</f>
        <v>98</v>
      </c>
      <c r="T41" s="1" t="n">
        <f aca="false">+IF($D41&gt;T$1-1,($G41+T$1)^2,0)*$C41*IF($F41="Optimization",2,1)</f>
        <v>128</v>
      </c>
      <c r="U41" s="1" t="n">
        <f aca="false">+IF($D41&gt;U$1-1,($G41+U$1)^2,0)*$C41*IF($F41="Optimization",2,1)</f>
        <v>0</v>
      </c>
      <c r="V41" s="1" t="n">
        <f aca="false">+IF($D41&gt;V$1-1,($G41+V$1)^2,0)*$C41*IF($F41="Optimization",2,1)</f>
        <v>0</v>
      </c>
      <c r="W41" s="1" t="n">
        <f aca="false">+IF($D41&gt;W$1-1,($G41+W$1)^2,0)*$C41*IF($F41="Optimization",2,1)</f>
        <v>0</v>
      </c>
      <c r="X41" s="1" t="n">
        <f aca="false">+IF($D41&gt;X$1-1,($G41+X$1)^2,0)*$C41*IF($F41="Optimization",2,1)</f>
        <v>0</v>
      </c>
      <c r="Y41" s="1" t="n">
        <f aca="false">+IF($D41&gt;Y$1-1,($G41+Y$1)^2,0)*$C41*IF($F41="Optimization",2,1)</f>
        <v>0</v>
      </c>
      <c r="Z41" s="1" t="n">
        <f aca="false">+IF($D41&gt;Z$1-1,($G41+Z$1)^2,0)*$C41*IF($F41="Optimization",2,1)</f>
        <v>0</v>
      </c>
      <c r="AC41" s="1" t="str">
        <f aca="false">CONCATENATE(A41,"- ",F41,"-",E41)</f>
        <v>Operational- Optimization-Sneak</v>
      </c>
    </row>
    <row r="42" customFormat="false" ht="15" hidden="false" customHeight="false" outlineLevel="0" collapsed="false">
      <c r="A42" s="5" t="s">
        <v>34</v>
      </c>
      <c r="B42" s="5" t="s">
        <v>45</v>
      </c>
      <c r="C42" s="6" t="n">
        <v>1</v>
      </c>
      <c r="D42" s="7" t="n">
        <f aca="false">Muck</f>
        <v>6</v>
      </c>
      <c r="E42" s="8"/>
      <c r="F42" s="8" t="s">
        <v>14</v>
      </c>
      <c r="G42" s="9"/>
      <c r="H42" s="9" t="n">
        <f aca="false">MAX(0,D42+G42)</f>
        <v>6</v>
      </c>
      <c r="I42" s="9" t="n">
        <f aca="false">IF(OR(C42="",H42=""),"",ROUNDUP(C42*H42^2/2,0))</f>
        <v>18</v>
      </c>
      <c r="J42" s="8" t="n">
        <f aca="false">TRUE()</f>
        <v>1</v>
      </c>
      <c r="K42" s="9" t="n">
        <f aca="false">IF(J42,I42,0)</f>
        <v>18</v>
      </c>
      <c r="L42" s="9" t="n">
        <f aca="false">IF(OR(C42="",D42=""),"",C42*D42*(D42+1)*(2*D42+1)/6)</f>
        <v>91</v>
      </c>
      <c r="N42" s="3" t="n">
        <f aca="false">+SUM(O42:Z42)</f>
        <v>182</v>
      </c>
      <c r="O42" s="1" t="n">
        <f aca="false">+IF($D42&gt;O$1-1,($G42+O$1)^2,0)*$C42*IF($F42="Optimization",2,1)</f>
        <v>2</v>
      </c>
      <c r="P42" s="1" t="n">
        <f aca="false">+IF($D42&gt;P$1-1,($G42+P$1)^2,0)*$C42*IF($F42="Optimization",2,1)</f>
        <v>8</v>
      </c>
      <c r="Q42" s="1" t="n">
        <f aca="false">+IF($D42&gt;Q$1-1,($G42+Q$1)^2,0)*$C42*IF($F42="Optimization",2,1)</f>
        <v>18</v>
      </c>
      <c r="R42" s="1" t="n">
        <f aca="false">+IF($D42&gt;R$1-1,($G42+R$1)^2,0)*$C42*IF($F42="Optimization",2,1)</f>
        <v>32</v>
      </c>
      <c r="S42" s="1" t="n">
        <f aca="false">+IF($D42&gt;S$1-1,($G42+S$1)^2,0)*$C42*IF($F42="Optimization",2,1)</f>
        <v>50</v>
      </c>
      <c r="T42" s="1" t="n">
        <f aca="false">+IF($D42&gt;T$1-1,($G42+T$1)^2,0)*$C42*IF($F42="Optimization",2,1)</f>
        <v>72</v>
      </c>
      <c r="U42" s="1" t="n">
        <f aca="false">+IF($D42&gt;U$1-1,($G42+U$1)^2,0)*$C42*IF($F42="Optimization",2,1)</f>
        <v>0</v>
      </c>
      <c r="V42" s="1" t="n">
        <f aca="false">+IF($D42&gt;V$1-1,($G42+V$1)^2,0)*$C42*IF($F42="Optimization",2,1)</f>
        <v>0</v>
      </c>
      <c r="W42" s="1" t="n">
        <f aca="false">+IF($D42&gt;W$1-1,($G42+W$1)^2,0)*$C42*IF($F42="Optimization",2,1)</f>
        <v>0</v>
      </c>
      <c r="X42" s="1" t="n">
        <f aca="false">+IF($D42&gt;X$1-1,($G42+X$1)^2,0)*$C42*IF($F42="Optimization",2,1)</f>
        <v>0</v>
      </c>
      <c r="Y42" s="1" t="n">
        <f aca="false">+IF($D42&gt;Y$1-1,($G42+Y$1)^2,0)*$C42*IF($F42="Optimization",2,1)</f>
        <v>0</v>
      </c>
      <c r="Z42" s="1" t="n">
        <f aca="false">+IF($D42&gt;Z$1-1,($G42+Z$1)^2,0)*$C42*IF($F42="Optimization",2,1)</f>
        <v>0</v>
      </c>
      <c r="AC42" s="1" t="str">
        <f aca="false">CONCATENATE(A42,"- ",F42,"-",E42)</f>
        <v>Operational- Optimization-</v>
      </c>
    </row>
    <row r="43" customFormat="false" ht="15" hidden="false" customHeight="false" outlineLevel="0" collapsed="false">
      <c r="A43" s="5" t="s">
        <v>34</v>
      </c>
      <c r="B43" s="5" t="s">
        <v>46</v>
      </c>
      <c r="C43" s="6" t="n">
        <v>2</v>
      </c>
      <c r="D43" s="7" t="n">
        <f aca="false">Muck</f>
        <v>6</v>
      </c>
      <c r="E43" s="8" t="s">
        <v>38</v>
      </c>
      <c r="F43" s="8" t="s">
        <v>14</v>
      </c>
      <c r="G43" s="9" t="n">
        <v>2</v>
      </c>
      <c r="H43" s="9" t="n">
        <f aca="false">MAX(0,D43+G43)</f>
        <v>8</v>
      </c>
      <c r="I43" s="9" t="n">
        <f aca="false">IF(OR(C43="",H43=""),"",ROUNDUP(C43*H43^2/2,0))</f>
        <v>64</v>
      </c>
      <c r="J43" s="8" t="n">
        <f aca="false">TRUE()</f>
        <v>1</v>
      </c>
      <c r="K43" s="9" t="n">
        <f aca="false">IF(J43,I43,0)</f>
        <v>64</v>
      </c>
      <c r="L43" s="9" t="n">
        <f aca="false">IF(OR(C43="",D43=""),"",C43*D43*(D43+1)*(2*D43+1)/6)</f>
        <v>182</v>
      </c>
      <c r="N43" s="3" t="n">
        <f aca="false">+SUM(O43:Z43)</f>
        <v>796</v>
      </c>
      <c r="O43" s="1" t="n">
        <f aca="false">+IF($D43&gt;O$1-1,($G43+O$1)^2,0)*$C43*IF($F43="Optimization",2,1)</f>
        <v>36</v>
      </c>
      <c r="P43" s="1" t="n">
        <f aca="false">+IF($D43&gt;P$1-1,($G43+P$1)^2,0)*$C43*IF($F43="Optimization",2,1)</f>
        <v>64</v>
      </c>
      <c r="Q43" s="1" t="n">
        <f aca="false">+IF($D43&gt;Q$1-1,($G43+Q$1)^2,0)*$C43*IF($F43="Optimization",2,1)</f>
        <v>100</v>
      </c>
      <c r="R43" s="1" t="n">
        <f aca="false">+IF($D43&gt;R$1-1,($G43+R$1)^2,0)*$C43*IF($F43="Optimization",2,1)</f>
        <v>144</v>
      </c>
      <c r="S43" s="1" t="n">
        <f aca="false">+IF($D43&gt;S$1-1,($G43+S$1)^2,0)*$C43*IF($F43="Optimization",2,1)</f>
        <v>196</v>
      </c>
      <c r="T43" s="1" t="n">
        <f aca="false">+IF($D43&gt;T$1-1,($G43+T$1)^2,0)*$C43*IF($F43="Optimization",2,1)</f>
        <v>256</v>
      </c>
      <c r="U43" s="1" t="n">
        <f aca="false">+IF($D43&gt;U$1-1,($G43+U$1)^2,0)*$C43*IF($F43="Optimization",2,1)</f>
        <v>0</v>
      </c>
      <c r="V43" s="1" t="n">
        <f aca="false">+IF($D43&gt;V$1-1,($G43+V$1)^2,0)*$C43*IF($F43="Optimization",2,1)</f>
        <v>0</v>
      </c>
      <c r="W43" s="1" t="n">
        <f aca="false">+IF($D43&gt;W$1-1,($G43+W$1)^2,0)*$C43*IF($F43="Optimization",2,1)</f>
        <v>0</v>
      </c>
      <c r="X43" s="1" t="n">
        <f aca="false">+IF($D43&gt;X$1-1,($G43+X$1)^2,0)*$C43*IF($F43="Optimization",2,1)</f>
        <v>0</v>
      </c>
      <c r="Y43" s="1" t="n">
        <f aca="false">+IF($D43&gt;Y$1-1,($G43+Y$1)^2,0)*$C43*IF($F43="Optimization",2,1)</f>
        <v>0</v>
      </c>
      <c r="Z43" s="1" t="n">
        <f aca="false">+IF($D43&gt;Z$1-1,($G43+Z$1)^2,0)*$C43*IF($F43="Optimization",2,1)</f>
        <v>0</v>
      </c>
      <c r="AC43" s="1" t="str">
        <f aca="false">CONCATENATE(A43,"- ",F43,"-",E43)</f>
        <v>Operational- Optimization-Sneak</v>
      </c>
    </row>
    <row r="44" customFormat="false" ht="15" hidden="false" customHeight="false" outlineLevel="0" collapsed="false">
      <c r="A44" s="5" t="s">
        <v>34</v>
      </c>
      <c r="B44" s="5" t="s">
        <v>46</v>
      </c>
      <c r="C44" s="6" t="n">
        <v>2</v>
      </c>
      <c r="D44" s="7" t="n">
        <f aca="false">Muck</f>
        <v>6</v>
      </c>
      <c r="E44" s="8"/>
      <c r="F44" s="8" t="s">
        <v>14</v>
      </c>
      <c r="G44" s="9"/>
      <c r="H44" s="9" t="n">
        <f aca="false">MAX(0,D44+G44)</f>
        <v>6</v>
      </c>
      <c r="I44" s="9" t="n">
        <f aca="false">IF(OR(C44="",H44=""),"",ROUNDUP(C44*H44^2/2,0))</f>
        <v>36</v>
      </c>
      <c r="J44" s="8" t="n">
        <f aca="false">TRUE()</f>
        <v>1</v>
      </c>
      <c r="K44" s="9" t="n">
        <f aca="false">IF(J44,I44,0)</f>
        <v>36</v>
      </c>
      <c r="L44" s="9" t="n">
        <f aca="false">IF(OR(C44="",D44=""),"",C44*D44*(D44+1)*(2*D44+1)/6)</f>
        <v>182</v>
      </c>
      <c r="N44" s="3" t="n">
        <f aca="false">+SUM(O44:Z44)</f>
        <v>364</v>
      </c>
      <c r="O44" s="1" t="n">
        <f aca="false">+IF($D44&gt;O$1-1,($G44+O$1)^2,0)*$C44*IF($F44="Optimization",2,1)</f>
        <v>4</v>
      </c>
      <c r="P44" s="1" t="n">
        <f aca="false">+IF($D44&gt;P$1-1,($G44+P$1)^2,0)*$C44*IF($F44="Optimization",2,1)</f>
        <v>16</v>
      </c>
      <c r="Q44" s="1" t="n">
        <f aca="false">+IF($D44&gt;Q$1-1,($G44+Q$1)^2,0)*$C44*IF($F44="Optimization",2,1)</f>
        <v>36</v>
      </c>
      <c r="R44" s="1" t="n">
        <f aca="false">+IF($D44&gt;R$1-1,($G44+R$1)^2,0)*$C44*IF($F44="Optimization",2,1)</f>
        <v>64</v>
      </c>
      <c r="S44" s="1" t="n">
        <f aca="false">+IF($D44&gt;S$1-1,($G44+S$1)^2,0)*$C44*IF($F44="Optimization",2,1)</f>
        <v>100</v>
      </c>
      <c r="T44" s="1" t="n">
        <f aca="false">+IF($D44&gt;T$1-1,($G44+T$1)^2,0)*$C44*IF($F44="Optimization",2,1)</f>
        <v>144</v>
      </c>
      <c r="U44" s="1" t="n">
        <f aca="false">+IF($D44&gt;U$1-1,($G44+U$1)^2,0)*$C44*IF($F44="Optimization",2,1)</f>
        <v>0</v>
      </c>
      <c r="V44" s="1" t="n">
        <f aca="false">+IF($D44&gt;V$1-1,($G44+V$1)^2,0)*$C44*IF($F44="Optimization",2,1)</f>
        <v>0</v>
      </c>
      <c r="W44" s="1" t="n">
        <f aca="false">+IF($D44&gt;W$1-1,($G44+W$1)^2,0)*$C44*IF($F44="Optimization",2,1)</f>
        <v>0</v>
      </c>
      <c r="X44" s="1" t="n">
        <f aca="false">+IF($D44&gt;X$1-1,($G44+X$1)^2,0)*$C44*IF($F44="Optimization",2,1)</f>
        <v>0</v>
      </c>
      <c r="Y44" s="1" t="n">
        <f aca="false">+IF($D44&gt;Y$1-1,($G44+Y$1)^2,0)*$C44*IF($F44="Optimization",2,1)</f>
        <v>0</v>
      </c>
      <c r="Z44" s="1" t="n">
        <f aca="false">+IF($D44&gt;Z$1-1,($G44+Z$1)^2,0)*$C44*IF($F44="Optimization",2,1)</f>
        <v>0</v>
      </c>
      <c r="AC44" s="1" t="str">
        <f aca="false">CONCATENATE(A44,"- ",F44,"-",E44)</f>
        <v>Operational- Optimization-</v>
      </c>
    </row>
    <row r="45" customFormat="false" ht="15" hidden="false" customHeight="false" outlineLevel="0" collapsed="false">
      <c r="A45" s="5" t="s">
        <v>34</v>
      </c>
      <c r="B45" s="5" t="s">
        <v>47</v>
      </c>
      <c r="C45" s="6" t="n">
        <v>3</v>
      </c>
      <c r="D45" s="7" t="n">
        <f aca="false">Muck</f>
        <v>6</v>
      </c>
      <c r="E45" s="8" t="s">
        <v>38</v>
      </c>
      <c r="F45" s="8" t="s">
        <v>14</v>
      </c>
      <c r="G45" s="9" t="n">
        <v>2</v>
      </c>
      <c r="H45" s="9" t="n">
        <f aca="false">MAX(0,D45+G45)</f>
        <v>8</v>
      </c>
      <c r="I45" s="9" t="n">
        <f aca="false">IF(OR(C45="",H45=""),"",ROUNDUP(C45*H45^2/2,0))</f>
        <v>96</v>
      </c>
      <c r="J45" s="8" t="n">
        <f aca="false">TRUE()</f>
        <v>1</v>
      </c>
      <c r="K45" s="9" t="n">
        <f aca="false">IF(J45,I45,0)</f>
        <v>96</v>
      </c>
      <c r="L45" s="9" t="n">
        <f aca="false">IF(OR(C45="",D45=""),"",C45*D45*(D45+1)*(2*D45+1)/6)</f>
        <v>273</v>
      </c>
      <c r="N45" s="3" t="n">
        <f aca="false">+SUM(O45:Z45)</f>
        <v>1194</v>
      </c>
      <c r="O45" s="1" t="n">
        <f aca="false">+IF($D45&gt;O$1-1,($G45+O$1)^2,0)*$C45*IF($F45="Optimization",2,1)</f>
        <v>54</v>
      </c>
      <c r="P45" s="1" t="n">
        <f aca="false">+IF($D45&gt;P$1-1,($G45+P$1)^2,0)*$C45*IF($F45="Optimization",2,1)</f>
        <v>96</v>
      </c>
      <c r="Q45" s="1" t="n">
        <f aca="false">+IF($D45&gt;Q$1-1,($G45+Q$1)^2,0)*$C45*IF($F45="Optimization",2,1)</f>
        <v>150</v>
      </c>
      <c r="R45" s="1" t="n">
        <f aca="false">+IF($D45&gt;R$1-1,($G45+R$1)^2,0)*$C45*IF($F45="Optimization",2,1)</f>
        <v>216</v>
      </c>
      <c r="S45" s="1" t="n">
        <f aca="false">+IF($D45&gt;S$1-1,($G45+S$1)^2,0)*$C45*IF($F45="Optimization",2,1)</f>
        <v>294</v>
      </c>
      <c r="T45" s="1" t="n">
        <f aca="false">+IF($D45&gt;T$1-1,($G45+T$1)^2,0)*$C45*IF($F45="Optimization",2,1)</f>
        <v>384</v>
      </c>
      <c r="U45" s="1" t="n">
        <f aca="false">+IF($D45&gt;U$1-1,($G45+U$1)^2,0)*$C45*IF($F45="Optimization",2,1)</f>
        <v>0</v>
      </c>
      <c r="V45" s="1" t="n">
        <f aca="false">+IF($D45&gt;V$1-1,($G45+V$1)^2,0)*$C45*IF($F45="Optimization",2,1)</f>
        <v>0</v>
      </c>
      <c r="W45" s="1" t="n">
        <f aca="false">+IF($D45&gt;W$1-1,($G45+W$1)^2,0)*$C45*IF($F45="Optimization",2,1)</f>
        <v>0</v>
      </c>
      <c r="X45" s="1" t="n">
        <f aca="false">+IF($D45&gt;X$1-1,($G45+X$1)^2,0)*$C45*IF($F45="Optimization",2,1)</f>
        <v>0</v>
      </c>
      <c r="Y45" s="1" t="n">
        <f aca="false">+IF($D45&gt;Y$1-1,($G45+Y$1)^2,0)*$C45*IF($F45="Optimization",2,1)</f>
        <v>0</v>
      </c>
      <c r="Z45" s="1" t="n">
        <f aca="false">+IF($D45&gt;Z$1-1,($G45+Z$1)^2,0)*$C45*IF($F45="Optimization",2,1)</f>
        <v>0</v>
      </c>
      <c r="AC45" s="1" t="str">
        <f aca="false">CONCATENATE(A45,"- ",F45,"-",E45)</f>
        <v>Operational- Optimization-Sneak</v>
      </c>
    </row>
    <row r="46" customFormat="false" ht="15" hidden="false" customHeight="false" outlineLevel="0" collapsed="false">
      <c r="A46" s="5" t="s">
        <v>34</v>
      </c>
      <c r="B46" s="5" t="s">
        <v>47</v>
      </c>
      <c r="C46" s="6" t="n">
        <v>3</v>
      </c>
      <c r="D46" s="7" t="n">
        <f aca="false">Muck</f>
        <v>6</v>
      </c>
      <c r="E46" s="8"/>
      <c r="F46" s="8" t="s">
        <v>14</v>
      </c>
      <c r="G46" s="9"/>
      <c r="H46" s="9" t="n">
        <f aca="false">MAX(0,D46+G46)</f>
        <v>6</v>
      </c>
      <c r="I46" s="9" t="n">
        <f aca="false">IF(OR(C46="",H46=""),"",ROUNDUP(C46*H46^2/2,0))</f>
        <v>54</v>
      </c>
      <c r="J46" s="8" t="n">
        <f aca="false">TRUE()</f>
        <v>1</v>
      </c>
      <c r="K46" s="9" t="n">
        <f aca="false">IF(J46,I46,0)</f>
        <v>54</v>
      </c>
      <c r="L46" s="9" t="n">
        <f aca="false">IF(OR(C46="",D46=""),"",C46*D46*(D46+1)*(2*D46+1)/6)</f>
        <v>273</v>
      </c>
      <c r="N46" s="3" t="n">
        <f aca="false">+SUM(O46:Z46)</f>
        <v>546</v>
      </c>
      <c r="O46" s="1" t="n">
        <f aca="false">+IF($D46&gt;O$1-1,($G46+O$1)^2,0)*$C46*IF($F46="Optimization",2,1)</f>
        <v>6</v>
      </c>
      <c r="P46" s="1" t="n">
        <f aca="false">+IF($D46&gt;P$1-1,($G46+P$1)^2,0)*$C46*IF($F46="Optimization",2,1)</f>
        <v>24</v>
      </c>
      <c r="Q46" s="1" t="n">
        <f aca="false">+IF($D46&gt;Q$1-1,($G46+Q$1)^2,0)*$C46*IF($F46="Optimization",2,1)</f>
        <v>54</v>
      </c>
      <c r="R46" s="1" t="n">
        <f aca="false">+IF($D46&gt;R$1-1,($G46+R$1)^2,0)*$C46*IF($F46="Optimization",2,1)</f>
        <v>96</v>
      </c>
      <c r="S46" s="1" t="n">
        <f aca="false">+IF($D46&gt;S$1-1,($G46+S$1)^2,0)*$C46*IF($F46="Optimization",2,1)</f>
        <v>150</v>
      </c>
      <c r="T46" s="1" t="n">
        <f aca="false">+IF($D46&gt;T$1-1,($G46+T$1)^2,0)*$C46*IF($F46="Optimization",2,1)</f>
        <v>216</v>
      </c>
      <c r="U46" s="1" t="n">
        <f aca="false">+IF($D46&gt;U$1-1,($G46+U$1)^2,0)*$C46*IF($F46="Optimization",2,1)</f>
        <v>0</v>
      </c>
      <c r="V46" s="1" t="n">
        <f aca="false">+IF($D46&gt;V$1-1,($G46+V$1)^2,0)*$C46*IF($F46="Optimization",2,1)</f>
        <v>0</v>
      </c>
      <c r="W46" s="1" t="n">
        <f aca="false">+IF($D46&gt;W$1-1,($G46+W$1)^2,0)*$C46*IF($F46="Optimization",2,1)</f>
        <v>0</v>
      </c>
      <c r="X46" s="1" t="n">
        <f aca="false">+IF($D46&gt;X$1-1,($G46+X$1)^2,0)*$C46*IF($F46="Optimization",2,1)</f>
        <v>0</v>
      </c>
      <c r="Y46" s="1" t="n">
        <f aca="false">+IF($D46&gt;Y$1-1,($G46+Y$1)^2,0)*$C46*IF($F46="Optimization",2,1)</f>
        <v>0</v>
      </c>
      <c r="Z46" s="1" t="n">
        <f aca="false">+IF($D46&gt;Z$1-1,($G46+Z$1)^2,0)*$C46*IF($F46="Optimization",2,1)</f>
        <v>0</v>
      </c>
      <c r="AC46" s="1" t="str">
        <f aca="false">CONCATENATE(A46,"- ",F46,"-",E46)</f>
        <v>Operational- Optimization-</v>
      </c>
    </row>
    <row r="47" customFormat="false" ht="15" hidden="false" customHeight="false" outlineLevel="0" collapsed="false">
      <c r="A47" s="5" t="s">
        <v>34</v>
      </c>
      <c r="B47" s="5" t="s">
        <v>48</v>
      </c>
      <c r="C47" s="6" t="n">
        <v>2</v>
      </c>
      <c r="D47" s="7" t="n">
        <f aca="false">Muck</f>
        <v>6</v>
      </c>
      <c r="E47" s="8" t="s">
        <v>38</v>
      </c>
      <c r="F47" s="8" t="s">
        <v>14</v>
      </c>
      <c r="G47" s="9" t="n">
        <v>2</v>
      </c>
      <c r="H47" s="9" t="n">
        <f aca="false">MAX(0,D47+G47)</f>
        <v>8</v>
      </c>
      <c r="I47" s="9" t="n">
        <f aca="false">IF(OR(C47="",H47=""),"",ROUNDUP(C47*H47^2/2,0))</f>
        <v>64</v>
      </c>
      <c r="J47" s="8" t="n">
        <f aca="false">TRUE()</f>
        <v>1</v>
      </c>
      <c r="K47" s="9" t="n">
        <f aca="false">IF(J47,I47,0)</f>
        <v>64</v>
      </c>
      <c r="L47" s="9" t="n">
        <f aca="false">IF(OR(C47="",D47=""),"",C47*D47*(D47+1)*(2*D47+1)/6)</f>
        <v>182</v>
      </c>
      <c r="N47" s="3" t="n">
        <f aca="false">+SUM(O47:Z47)</f>
        <v>796</v>
      </c>
      <c r="O47" s="1" t="n">
        <f aca="false">+IF($D47&gt;O$1-1,($G47+O$1)^2,0)*$C47*IF($F47="Optimization",2,1)</f>
        <v>36</v>
      </c>
      <c r="P47" s="1" t="n">
        <f aca="false">+IF($D47&gt;P$1-1,($G47+P$1)^2,0)*$C47*IF($F47="Optimization",2,1)</f>
        <v>64</v>
      </c>
      <c r="Q47" s="1" t="n">
        <f aca="false">+IF($D47&gt;Q$1-1,($G47+Q$1)^2,0)*$C47*IF($F47="Optimization",2,1)</f>
        <v>100</v>
      </c>
      <c r="R47" s="1" t="n">
        <f aca="false">+IF($D47&gt;R$1-1,($G47+R$1)^2,0)*$C47*IF($F47="Optimization",2,1)</f>
        <v>144</v>
      </c>
      <c r="S47" s="1" t="n">
        <f aca="false">+IF($D47&gt;S$1-1,($G47+S$1)^2,0)*$C47*IF($F47="Optimization",2,1)</f>
        <v>196</v>
      </c>
      <c r="T47" s="1" t="n">
        <f aca="false">+IF($D47&gt;T$1-1,($G47+T$1)^2,0)*$C47*IF($F47="Optimization",2,1)</f>
        <v>256</v>
      </c>
      <c r="U47" s="1" t="n">
        <f aca="false">+IF($D47&gt;U$1-1,($G47+U$1)^2,0)*$C47*IF($F47="Optimization",2,1)</f>
        <v>0</v>
      </c>
      <c r="V47" s="1" t="n">
        <f aca="false">+IF($D47&gt;V$1-1,($G47+V$1)^2,0)*$C47*IF($F47="Optimization",2,1)</f>
        <v>0</v>
      </c>
      <c r="W47" s="1" t="n">
        <f aca="false">+IF($D47&gt;W$1-1,($G47+W$1)^2,0)*$C47*IF($F47="Optimization",2,1)</f>
        <v>0</v>
      </c>
      <c r="X47" s="1" t="n">
        <f aca="false">+IF($D47&gt;X$1-1,($G47+X$1)^2,0)*$C47*IF($F47="Optimization",2,1)</f>
        <v>0</v>
      </c>
      <c r="Y47" s="1" t="n">
        <f aca="false">+IF($D47&gt;Y$1-1,($G47+Y$1)^2,0)*$C47*IF($F47="Optimization",2,1)</f>
        <v>0</v>
      </c>
      <c r="Z47" s="1" t="n">
        <f aca="false">+IF($D47&gt;Z$1-1,($G47+Z$1)^2,0)*$C47*IF($F47="Optimization",2,1)</f>
        <v>0</v>
      </c>
      <c r="AC47" s="1" t="str">
        <f aca="false">CONCATENATE(A47,"- ",F47,"-",E47)</f>
        <v>Operational- Optimization-Sneak</v>
      </c>
    </row>
    <row r="48" customFormat="false" ht="15" hidden="false" customHeight="false" outlineLevel="0" collapsed="false">
      <c r="A48" s="5" t="s">
        <v>34</v>
      </c>
      <c r="B48" s="5" t="s">
        <v>48</v>
      </c>
      <c r="C48" s="6" t="n">
        <v>2</v>
      </c>
      <c r="D48" s="7" t="n">
        <f aca="false">Muck</f>
        <v>6</v>
      </c>
      <c r="E48" s="8"/>
      <c r="F48" s="8" t="s">
        <v>14</v>
      </c>
      <c r="G48" s="9"/>
      <c r="H48" s="9" t="n">
        <f aca="false">MAX(0,D48+G48)</f>
        <v>6</v>
      </c>
      <c r="I48" s="9" t="n">
        <f aca="false">IF(OR(C48="",H48=""),"",ROUNDUP(C48*H48^2/2,0))</f>
        <v>36</v>
      </c>
      <c r="J48" s="8" t="n">
        <f aca="false">TRUE()</f>
        <v>1</v>
      </c>
      <c r="K48" s="9" t="n">
        <f aca="false">IF(J48,I48,0)</f>
        <v>36</v>
      </c>
      <c r="L48" s="9" t="n">
        <f aca="false">IF(OR(C48="",D48=""),"",C48*D48*(D48+1)*(2*D48+1)/6)</f>
        <v>182</v>
      </c>
      <c r="N48" s="3" t="n">
        <f aca="false">+SUM(O48:Z48)</f>
        <v>364</v>
      </c>
      <c r="O48" s="1" t="n">
        <f aca="false">+IF($D48&gt;O$1-1,($G48+O$1)^2,0)*$C48*IF($F48="Optimization",2,1)</f>
        <v>4</v>
      </c>
      <c r="P48" s="1" t="n">
        <f aca="false">+IF($D48&gt;P$1-1,($G48+P$1)^2,0)*$C48*IF($F48="Optimization",2,1)</f>
        <v>16</v>
      </c>
      <c r="Q48" s="1" t="n">
        <f aca="false">+IF($D48&gt;Q$1-1,($G48+Q$1)^2,0)*$C48*IF($F48="Optimization",2,1)</f>
        <v>36</v>
      </c>
      <c r="R48" s="1" t="n">
        <f aca="false">+IF($D48&gt;R$1-1,($G48+R$1)^2,0)*$C48*IF($F48="Optimization",2,1)</f>
        <v>64</v>
      </c>
      <c r="S48" s="1" t="n">
        <f aca="false">+IF($D48&gt;S$1-1,($G48+S$1)^2,0)*$C48*IF($F48="Optimization",2,1)</f>
        <v>100</v>
      </c>
      <c r="T48" s="1" t="n">
        <f aca="false">+IF($D48&gt;T$1-1,($G48+T$1)^2,0)*$C48*IF($F48="Optimization",2,1)</f>
        <v>144</v>
      </c>
      <c r="U48" s="1" t="n">
        <f aca="false">+IF($D48&gt;U$1-1,($G48+U$1)^2,0)*$C48*IF($F48="Optimization",2,1)</f>
        <v>0</v>
      </c>
      <c r="V48" s="1" t="n">
        <f aca="false">+IF($D48&gt;V$1-1,($G48+V$1)^2,0)*$C48*IF($F48="Optimization",2,1)</f>
        <v>0</v>
      </c>
      <c r="W48" s="1" t="n">
        <f aca="false">+IF($D48&gt;W$1-1,($G48+W$1)^2,0)*$C48*IF($F48="Optimization",2,1)</f>
        <v>0</v>
      </c>
      <c r="X48" s="1" t="n">
        <f aca="false">+IF($D48&gt;X$1-1,($G48+X$1)^2,0)*$C48*IF($F48="Optimization",2,1)</f>
        <v>0</v>
      </c>
      <c r="Y48" s="1" t="n">
        <f aca="false">+IF($D48&gt;Y$1-1,($G48+Y$1)^2,0)*$C48*IF($F48="Optimization",2,1)</f>
        <v>0</v>
      </c>
      <c r="Z48" s="1" t="n">
        <f aca="false">+IF($D48&gt;Z$1-1,($G48+Z$1)^2,0)*$C48*IF($F48="Optimization",2,1)</f>
        <v>0</v>
      </c>
      <c r="AC48" s="1" t="str">
        <f aca="false">CONCATENATE(A48,"- ",F48,"-",E48)</f>
        <v>Operational- Optimization-</v>
      </c>
    </row>
    <row r="49" customFormat="false" ht="15" hidden="false" customHeight="false" outlineLevel="0" collapsed="false">
      <c r="A49" s="5" t="s">
        <v>34</v>
      </c>
      <c r="B49" s="5" t="s">
        <v>49</v>
      </c>
      <c r="C49" s="6" t="n">
        <v>2</v>
      </c>
      <c r="D49" s="7" t="n">
        <f aca="false">Muck</f>
        <v>6</v>
      </c>
      <c r="E49" s="8" t="s">
        <v>38</v>
      </c>
      <c r="F49" s="8" t="s">
        <v>14</v>
      </c>
      <c r="G49" s="9" t="n">
        <v>2</v>
      </c>
      <c r="H49" s="9" t="n">
        <f aca="false">MAX(0,D49+G49)</f>
        <v>8</v>
      </c>
      <c r="I49" s="9" t="n">
        <f aca="false">IF(OR(C49="",H49=""),"",ROUNDUP(C49*H49^2/2,0))</f>
        <v>64</v>
      </c>
      <c r="J49" s="8" t="n">
        <f aca="false">TRUE()</f>
        <v>1</v>
      </c>
      <c r="K49" s="9" t="n">
        <f aca="false">IF(J49,I49,0)</f>
        <v>64</v>
      </c>
      <c r="L49" s="9" t="n">
        <f aca="false">IF(OR(C49="",D49=""),"",C49*D49*(D49+1)*(2*D49+1)/6)</f>
        <v>182</v>
      </c>
      <c r="N49" s="3" t="n">
        <f aca="false">+SUM(O49:Z49)</f>
        <v>796</v>
      </c>
      <c r="O49" s="1" t="n">
        <f aca="false">+IF($D49&gt;O$1-1,($G49+O$1)^2,0)*$C49*IF($F49="Optimization",2,1)</f>
        <v>36</v>
      </c>
      <c r="P49" s="1" t="n">
        <f aca="false">+IF($D49&gt;P$1-1,($G49+P$1)^2,0)*$C49*IF($F49="Optimization",2,1)</f>
        <v>64</v>
      </c>
      <c r="Q49" s="1" t="n">
        <f aca="false">+IF($D49&gt;Q$1-1,($G49+Q$1)^2,0)*$C49*IF($F49="Optimization",2,1)</f>
        <v>100</v>
      </c>
      <c r="R49" s="1" t="n">
        <f aca="false">+IF($D49&gt;R$1-1,($G49+R$1)^2,0)*$C49*IF($F49="Optimization",2,1)</f>
        <v>144</v>
      </c>
      <c r="S49" s="1" t="n">
        <f aca="false">+IF($D49&gt;S$1-1,($G49+S$1)^2,0)*$C49*IF($F49="Optimization",2,1)</f>
        <v>196</v>
      </c>
      <c r="T49" s="1" t="n">
        <f aca="false">+IF($D49&gt;T$1-1,($G49+T$1)^2,0)*$C49*IF($F49="Optimization",2,1)</f>
        <v>256</v>
      </c>
      <c r="U49" s="1" t="n">
        <f aca="false">+IF($D49&gt;U$1-1,($G49+U$1)^2,0)*$C49*IF($F49="Optimization",2,1)</f>
        <v>0</v>
      </c>
      <c r="V49" s="1" t="n">
        <f aca="false">+IF($D49&gt;V$1-1,($G49+V$1)^2,0)*$C49*IF($F49="Optimization",2,1)</f>
        <v>0</v>
      </c>
      <c r="W49" s="1" t="n">
        <f aca="false">+IF($D49&gt;W$1-1,($G49+W$1)^2,0)*$C49*IF($F49="Optimization",2,1)</f>
        <v>0</v>
      </c>
      <c r="X49" s="1" t="n">
        <f aca="false">+IF($D49&gt;X$1-1,($G49+X$1)^2,0)*$C49*IF($F49="Optimization",2,1)</f>
        <v>0</v>
      </c>
      <c r="Y49" s="1" t="n">
        <f aca="false">+IF($D49&gt;Y$1-1,($G49+Y$1)^2,0)*$C49*IF($F49="Optimization",2,1)</f>
        <v>0</v>
      </c>
      <c r="Z49" s="1" t="n">
        <f aca="false">+IF($D49&gt;Z$1-1,($G49+Z$1)^2,0)*$C49*IF($F49="Optimization",2,1)</f>
        <v>0</v>
      </c>
      <c r="AC49" s="1" t="str">
        <f aca="false">CONCATENATE(A49,"- ",F49,"-",E49)</f>
        <v>Operational- Optimization-Sneak</v>
      </c>
    </row>
    <row r="50" customFormat="false" ht="15" hidden="false" customHeight="false" outlineLevel="0" collapsed="false">
      <c r="A50" s="5" t="s">
        <v>34</v>
      </c>
      <c r="B50" s="5" t="s">
        <v>49</v>
      </c>
      <c r="C50" s="6" t="n">
        <v>2</v>
      </c>
      <c r="D50" s="7" t="n">
        <f aca="false">Muck</f>
        <v>6</v>
      </c>
      <c r="E50" s="8"/>
      <c r="F50" s="8" t="s">
        <v>14</v>
      </c>
      <c r="G50" s="9"/>
      <c r="H50" s="9" t="n">
        <f aca="false">MAX(0,D50+G50)</f>
        <v>6</v>
      </c>
      <c r="I50" s="9" t="n">
        <f aca="false">IF(OR(C50="",H50=""),"",ROUNDUP(C50*H50^2/2,0))</f>
        <v>36</v>
      </c>
      <c r="J50" s="8" t="n">
        <f aca="false">TRUE()</f>
        <v>1</v>
      </c>
      <c r="K50" s="9" t="n">
        <f aca="false">IF(J50,I50,0)</f>
        <v>36</v>
      </c>
      <c r="L50" s="9" t="n">
        <f aca="false">IF(OR(C50="",D50=""),"",C50*D50*(D50+1)*(2*D50+1)/6)</f>
        <v>182</v>
      </c>
      <c r="N50" s="3" t="n">
        <f aca="false">+SUM(O50:Z50)</f>
        <v>364</v>
      </c>
      <c r="O50" s="1" t="n">
        <f aca="false">+IF($D50&gt;O$1-1,($G50+O$1)^2,0)*$C50*IF($F50="Optimization",2,1)</f>
        <v>4</v>
      </c>
      <c r="P50" s="1" t="n">
        <f aca="false">+IF($D50&gt;P$1-1,($G50+P$1)^2,0)*$C50*IF($F50="Optimization",2,1)</f>
        <v>16</v>
      </c>
      <c r="Q50" s="1" t="n">
        <f aca="false">+IF($D50&gt;Q$1-1,($G50+Q$1)^2,0)*$C50*IF($F50="Optimization",2,1)</f>
        <v>36</v>
      </c>
      <c r="R50" s="1" t="n">
        <f aca="false">+IF($D50&gt;R$1-1,($G50+R$1)^2,0)*$C50*IF($F50="Optimization",2,1)</f>
        <v>64</v>
      </c>
      <c r="S50" s="1" t="n">
        <f aca="false">+IF($D50&gt;S$1-1,($G50+S$1)^2,0)*$C50*IF($F50="Optimization",2,1)</f>
        <v>100</v>
      </c>
      <c r="T50" s="1" t="n">
        <f aca="false">+IF($D50&gt;T$1-1,($G50+T$1)^2,0)*$C50*IF($F50="Optimization",2,1)</f>
        <v>144</v>
      </c>
      <c r="U50" s="1" t="n">
        <f aca="false">+IF($D50&gt;U$1-1,($G50+U$1)^2,0)*$C50*IF($F50="Optimization",2,1)</f>
        <v>0</v>
      </c>
      <c r="V50" s="1" t="n">
        <f aca="false">+IF($D50&gt;V$1-1,($G50+V$1)^2,0)*$C50*IF($F50="Optimization",2,1)</f>
        <v>0</v>
      </c>
      <c r="W50" s="1" t="n">
        <f aca="false">+IF($D50&gt;W$1-1,($G50+W$1)^2,0)*$C50*IF($F50="Optimization",2,1)</f>
        <v>0</v>
      </c>
      <c r="X50" s="1" t="n">
        <f aca="false">+IF($D50&gt;X$1-1,($G50+X$1)^2,0)*$C50*IF($F50="Optimization",2,1)</f>
        <v>0</v>
      </c>
      <c r="Y50" s="1" t="n">
        <f aca="false">+IF($D50&gt;Y$1-1,($G50+Y$1)^2,0)*$C50*IF($F50="Optimization",2,1)</f>
        <v>0</v>
      </c>
      <c r="Z50" s="1" t="n">
        <f aca="false">+IF($D50&gt;Z$1-1,($G50+Z$1)^2,0)*$C50*IF($F50="Optimization",2,1)</f>
        <v>0</v>
      </c>
      <c r="AC50" s="1" t="str">
        <f aca="false">CONCATENATE(A50,"- ",F50,"-",E50)</f>
        <v>Operational- Optimization-</v>
      </c>
    </row>
    <row r="51" customFormat="false" ht="15" hidden="false" customHeight="false" outlineLevel="0" collapsed="false">
      <c r="A51" s="5" t="s">
        <v>34</v>
      </c>
      <c r="B51" s="5" t="s">
        <v>50</v>
      </c>
      <c r="C51" s="6" t="n">
        <v>2</v>
      </c>
      <c r="D51" s="7" t="n">
        <f aca="false">Muck</f>
        <v>6</v>
      </c>
      <c r="E51" s="8" t="s">
        <v>38</v>
      </c>
      <c r="F51" s="8" t="s">
        <v>14</v>
      </c>
      <c r="G51" s="9" t="n">
        <v>2</v>
      </c>
      <c r="H51" s="9" t="n">
        <f aca="false">MAX(0,D51+G51)</f>
        <v>8</v>
      </c>
      <c r="I51" s="9" t="n">
        <f aca="false">IF(OR(C51="",H51=""),"",ROUNDUP(C51*H51^2/2,0))</f>
        <v>64</v>
      </c>
      <c r="J51" s="8" t="n">
        <f aca="false">TRUE()</f>
        <v>1</v>
      </c>
      <c r="K51" s="9" t="n">
        <f aca="false">IF(J51,I51,0)</f>
        <v>64</v>
      </c>
      <c r="L51" s="9" t="n">
        <f aca="false">IF(OR(C51="",D51=""),"",C51*D51*(D51+1)*(2*D51+1)/6)</f>
        <v>182</v>
      </c>
      <c r="N51" s="3" t="n">
        <f aca="false">+SUM(O51:Z51)</f>
        <v>796</v>
      </c>
      <c r="O51" s="1" t="n">
        <f aca="false">+IF($D51&gt;O$1-1,($G51+O$1)^2,0)*$C51*IF($F51="Optimization",2,1)</f>
        <v>36</v>
      </c>
      <c r="P51" s="1" t="n">
        <f aca="false">+IF($D51&gt;P$1-1,($G51+P$1)^2,0)*$C51*IF($F51="Optimization",2,1)</f>
        <v>64</v>
      </c>
      <c r="Q51" s="1" t="n">
        <f aca="false">+IF($D51&gt;Q$1-1,($G51+Q$1)^2,0)*$C51*IF($F51="Optimization",2,1)</f>
        <v>100</v>
      </c>
      <c r="R51" s="1" t="n">
        <f aca="false">+IF($D51&gt;R$1-1,($G51+R$1)^2,0)*$C51*IF($F51="Optimization",2,1)</f>
        <v>144</v>
      </c>
      <c r="S51" s="1" t="n">
        <f aca="false">+IF($D51&gt;S$1-1,($G51+S$1)^2,0)*$C51*IF($F51="Optimization",2,1)</f>
        <v>196</v>
      </c>
      <c r="T51" s="1" t="n">
        <f aca="false">+IF($D51&gt;T$1-1,($G51+T$1)^2,0)*$C51*IF($F51="Optimization",2,1)</f>
        <v>256</v>
      </c>
      <c r="U51" s="1" t="n">
        <f aca="false">+IF($D51&gt;U$1-1,($G51+U$1)^2,0)*$C51*IF($F51="Optimization",2,1)</f>
        <v>0</v>
      </c>
      <c r="V51" s="1" t="n">
        <f aca="false">+IF($D51&gt;V$1-1,($G51+V$1)^2,0)*$C51*IF($F51="Optimization",2,1)</f>
        <v>0</v>
      </c>
      <c r="W51" s="1" t="n">
        <f aca="false">+IF($D51&gt;W$1-1,($G51+W$1)^2,0)*$C51*IF($F51="Optimization",2,1)</f>
        <v>0</v>
      </c>
      <c r="X51" s="1" t="n">
        <f aca="false">+IF($D51&gt;X$1-1,($G51+X$1)^2,0)*$C51*IF($F51="Optimization",2,1)</f>
        <v>0</v>
      </c>
      <c r="Y51" s="1" t="n">
        <f aca="false">+IF($D51&gt;Y$1-1,($G51+Y$1)^2,0)*$C51*IF($F51="Optimization",2,1)</f>
        <v>0</v>
      </c>
      <c r="Z51" s="1" t="n">
        <f aca="false">+IF($D51&gt;Z$1-1,($G51+Z$1)^2,0)*$C51*IF($F51="Optimization",2,1)</f>
        <v>0</v>
      </c>
      <c r="AC51" s="1" t="str">
        <f aca="false">CONCATENATE(A51,"- ",F51,"-",E51)</f>
        <v>Operational- Optimization-Sneak</v>
      </c>
    </row>
    <row r="52" customFormat="false" ht="15" hidden="false" customHeight="false" outlineLevel="0" collapsed="false">
      <c r="A52" s="5" t="s">
        <v>34</v>
      </c>
      <c r="B52" s="5" t="s">
        <v>50</v>
      </c>
      <c r="C52" s="6" t="n">
        <v>2</v>
      </c>
      <c r="D52" s="7" t="n">
        <f aca="false">Muck</f>
        <v>6</v>
      </c>
      <c r="E52" s="8"/>
      <c r="F52" s="8" t="s">
        <v>14</v>
      </c>
      <c r="G52" s="9"/>
      <c r="H52" s="9" t="n">
        <f aca="false">MAX(0,D52+G52)</f>
        <v>6</v>
      </c>
      <c r="I52" s="9" t="n">
        <f aca="false">IF(OR(C52="",H52=""),"",ROUNDUP(C52*H52^2/2,0))</f>
        <v>36</v>
      </c>
      <c r="J52" s="8" t="n">
        <f aca="false">TRUE()</f>
        <v>1</v>
      </c>
      <c r="K52" s="9" t="n">
        <f aca="false">IF(J52,I52,0)</f>
        <v>36</v>
      </c>
      <c r="L52" s="9" t="n">
        <f aca="false">IF(OR(C52="",D52=""),"",C52*D52*(D52+1)*(2*D52+1)/6)</f>
        <v>182</v>
      </c>
      <c r="N52" s="3" t="n">
        <f aca="false">+SUM(O52:Z52)</f>
        <v>364</v>
      </c>
      <c r="O52" s="1" t="n">
        <f aca="false">+IF($D52&gt;O$1-1,($G52+O$1)^2,0)*$C52*IF($F52="Optimization",2,1)</f>
        <v>4</v>
      </c>
      <c r="P52" s="1" t="n">
        <f aca="false">+IF($D52&gt;P$1-1,($G52+P$1)^2,0)*$C52*IF($F52="Optimization",2,1)</f>
        <v>16</v>
      </c>
      <c r="Q52" s="1" t="n">
        <f aca="false">+IF($D52&gt;Q$1-1,($G52+Q$1)^2,0)*$C52*IF($F52="Optimization",2,1)</f>
        <v>36</v>
      </c>
      <c r="R52" s="1" t="n">
        <f aca="false">+IF($D52&gt;R$1-1,($G52+R$1)^2,0)*$C52*IF($F52="Optimization",2,1)</f>
        <v>64</v>
      </c>
      <c r="S52" s="1" t="n">
        <f aca="false">+IF($D52&gt;S$1-1,($G52+S$1)^2,0)*$C52*IF($F52="Optimization",2,1)</f>
        <v>100</v>
      </c>
      <c r="T52" s="1" t="n">
        <f aca="false">+IF($D52&gt;T$1-1,($G52+T$1)^2,0)*$C52*IF($F52="Optimization",2,1)</f>
        <v>144</v>
      </c>
      <c r="U52" s="1" t="n">
        <f aca="false">+IF($D52&gt;U$1-1,($G52+U$1)^2,0)*$C52*IF($F52="Optimization",2,1)</f>
        <v>0</v>
      </c>
      <c r="V52" s="1" t="n">
        <f aca="false">+IF($D52&gt;V$1-1,($G52+V$1)^2,0)*$C52*IF($F52="Optimization",2,1)</f>
        <v>0</v>
      </c>
      <c r="W52" s="1" t="n">
        <f aca="false">+IF($D52&gt;W$1-1,($G52+W$1)^2,0)*$C52*IF($F52="Optimization",2,1)</f>
        <v>0</v>
      </c>
      <c r="X52" s="1" t="n">
        <f aca="false">+IF($D52&gt;X$1-1,($G52+X$1)^2,0)*$C52*IF($F52="Optimization",2,1)</f>
        <v>0</v>
      </c>
      <c r="Y52" s="1" t="n">
        <f aca="false">+IF($D52&gt;Y$1-1,($G52+Y$1)^2,0)*$C52*IF($F52="Optimization",2,1)</f>
        <v>0</v>
      </c>
      <c r="Z52" s="1" t="n">
        <f aca="false">+IF($D52&gt;Z$1-1,($G52+Z$1)^2,0)*$C52*IF($F52="Optimization",2,1)</f>
        <v>0</v>
      </c>
      <c r="AC52" s="1" t="str">
        <f aca="false">CONCATENATE(A52,"- ",F52,"-",E52)</f>
        <v>Operational- Optimization-</v>
      </c>
    </row>
    <row r="53" customFormat="false" ht="15" hidden="false" customHeight="false" outlineLevel="0" collapsed="false">
      <c r="A53" s="5" t="s">
        <v>34</v>
      </c>
      <c r="B53" s="5" t="s">
        <v>51</v>
      </c>
      <c r="C53" s="6" t="n">
        <v>2</v>
      </c>
      <c r="D53" s="7" t="n">
        <f aca="false">Muck</f>
        <v>6</v>
      </c>
      <c r="E53" s="8" t="s">
        <v>38</v>
      </c>
      <c r="F53" s="8" t="s">
        <v>14</v>
      </c>
      <c r="G53" s="9" t="n">
        <v>2</v>
      </c>
      <c r="H53" s="9" t="n">
        <f aca="false">MAX(0,D53+G53)</f>
        <v>8</v>
      </c>
      <c r="I53" s="9" t="n">
        <f aca="false">IF(OR(C53="",H53=""),"",ROUNDUP(C53*H53^2/2,0))</f>
        <v>64</v>
      </c>
      <c r="J53" s="8" t="n">
        <f aca="false">TRUE()</f>
        <v>1</v>
      </c>
      <c r="K53" s="9" t="n">
        <f aca="false">IF(J53,I53,0)</f>
        <v>64</v>
      </c>
      <c r="L53" s="9" t="n">
        <f aca="false">IF(OR(C53="",D53=""),"",C53*D53*(D53+1)*(2*D53+1)/6)</f>
        <v>182</v>
      </c>
      <c r="N53" s="3" t="n">
        <f aca="false">+SUM(O53:Z53)</f>
        <v>796</v>
      </c>
      <c r="O53" s="1" t="n">
        <f aca="false">+IF($D53&gt;O$1-1,($G53+O$1)^2,0)*$C53*IF($F53="Optimization",2,1)</f>
        <v>36</v>
      </c>
      <c r="P53" s="1" t="n">
        <f aca="false">+IF($D53&gt;P$1-1,($G53+P$1)^2,0)*$C53*IF($F53="Optimization",2,1)</f>
        <v>64</v>
      </c>
      <c r="Q53" s="1" t="n">
        <f aca="false">+IF($D53&gt;Q$1-1,($G53+Q$1)^2,0)*$C53*IF($F53="Optimization",2,1)</f>
        <v>100</v>
      </c>
      <c r="R53" s="1" t="n">
        <f aca="false">+IF($D53&gt;R$1-1,($G53+R$1)^2,0)*$C53*IF($F53="Optimization",2,1)</f>
        <v>144</v>
      </c>
      <c r="S53" s="1" t="n">
        <f aca="false">+IF($D53&gt;S$1-1,($G53+S$1)^2,0)*$C53*IF($F53="Optimization",2,1)</f>
        <v>196</v>
      </c>
      <c r="T53" s="1" t="n">
        <f aca="false">+IF($D53&gt;T$1-1,($G53+T$1)^2,0)*$C53*IF($F53="Optimization",2,1)</f>
        <v>256</v>
      </c>
      <c r="U53" s="1" t="n">
        <f aca="false">+IF($D53&gt;U$1-1,($G53+U$1)^2,0)*$C53*IF($F53="Optimization",2,1)</f>
        <v>0</v>
      </c>
      <c r="V53" s="1" t="n">
        <f aca="false">+IF($D53&gt;V$1-1,($G53+V$1)^2,0)*$C53*IF($F53="Optimization",2,1)</f>
        <v>0</v>
      </c>
      <c r="W53" s="1" t="n">
        <f aca="false">+IF($D53&gt;W$1-1,($G53+W$1)^2,0)*$C53*IF($F53="Optimization",2,1)</f>
        <v>0</v>
      </c>
      <c r="X53" s="1" t="n">
        <f aca="false">+IF($D53&gt;X$1-1,($G53+X$1)^2,0)*$C53*IF($F53="Optimization",2,1)</f>
        <v>0</v>
      </c>
      <c r="Y53" s="1" t="n">
        <f aca="false">+IF($D53&gt;Y$1-1,($G53+Y$1)^2,0)*$C53*IF($F53="Optimization",2,1)</f>
        <v>0</v>
      </c>
      <c r="Z53" s="1" t="n">
        <f aca="false">+IF($D53&gt;Z$1-1,($G53+Z$1)^2,0)*$C53*IF($F53="Optimization",2,1)</f>
        <v>0</v>
      </c>
      <c r="AC53" s="1" t="str">
        <f aca="false">CONCATENATE(A53,"- ",F53,"-",E53)</f>
        <v>Operational- Optimization-Sneak</v>
      </c>
    </row>
    <row r="54" customFormat="false" ht="15" hidden="false" customHeight="true" outlineLevel="0" collapsed="false">
      <c r="A54" s="5" t="s">
        <v>34</v>
      </c>
      <c r="B54" s="5" t="s">
        <v>51</v>
      </c>
      <c r="C54" s="6" t="n">
        <v>2</v>
      </c>
      <c r="D54" s="7" t="n">
        <f aca="false">Muck</f>
        <v>6</v>
      </c>
      <c r="E54" s="8"/>
      <c r="F54" s="8" t="s">
        <v>14</v>
      </c>
      <c r="G54" s="9"/>
      <c r="H54" s="9" t="n">
        <f aca="false">MAX(0,D54+G54)</f>
        <v>6</v>
      </c>
      <c r="I54" s="9" t="n">
        <f aca="false">IF(OR(C54="",H54=""),"",ROUNDUP(C54*H54^2/2,0))</f>
        <v>36</v>
      </c>
      <c r="J54" s="8" t="n">
        <f aca="false">TRUE()</f>
        <v>1</v>
      </c>
      <c r="K54" s="9" t="n">
        <f aca="false">IF(J54,I54,0)</f>
        <v>36</v>
      </c>
      <c r="L54" s="9" t="n">
        <f aca="false">IF(OR(C54="",D54=""),"",C54*D54*(D54+1)*(2*D54+1)/6)</f>
        <v>182</v>
      </c>
      <c r="N54" s="3" t="n">
        <f aca="false">+SUM(O54:Z54)</f>
        <v>364</v>
      </c>
      <c r="O54" s="1" t="n">
        <f aca="false">+IF($D54&gt;O$1-1,($G54+O$1)^2,0)*$C54*IF($F54="Optimization",2,1)</f>
        <v>4</v>
      </c>
      <c r="P54" s="1" t="n">
        <f aca="false">+IF($D54&gt;P$1-1,($G54+P$1)^2,0)*$C54*IF($F54="Optimization",2,1)</f>
        <v>16</v>
      </c>
      <c r="Q54" s="1" t="n">
        <f aca="false">+IF($D54&gt;Q$1-1,($G54+Q$1)^2,0)*$C54*IF($F54="Optimization",2,1)</f>
        <v>36</v>
      </c>
      <c r="R54" s="1" t="n">
        <f aca="false">+IF($D54&gt;R$1-1,($G54+R$1)^2,0)*$C54*IF($F54="Optimization",2,1)</f>
        <v>64</v>
      </c>
      <c r="S54" s="1" t="n">
        <f aca="false">+IF($D54&gt;S$1-1,($G54+S$1)^2,0)*$C54*IF($F54="Optimization",2,1)</f>
        <v>100</v>
      </c>
      <c r="T54" s="1" t="n">
        <f aca="false">+IF($D54&gt;T$1-1,($G54+T$1)^2,0)*$C54*IF($F54="Optimization",2,1)</f>
        <v>144</v>
      </c>
      <c r="U54" s="1" t="n">
        <f aca="false">+IF($D54&gt;U$1-1,($G54+U$1)^2,0)*$C54*IF($F54="Optimization",2,1)</f>
        <v>0</v>
      </c>
      <c r="V54" s="1" t="n">
        <f aca="false">+IF($D54&gt;V$1-1,($G54+V$1)^2,0)*$C54*IF($F54="Optimization",2,1)</f>
        <v>0</v>
      </c>
      <c r="W54" s="1" t="n">
        <f aca="false">+IF($D54&gt;W$1-1,($G54+W$1)^2,0)*$C54*IF($F54="Optimization",2,1)</f>
        <v>0</v>
      </c>
      <c r="X54" s="1" t="n">
        <f aca="false">+IF($D54&gt;X$1-1,($G54+X$1)^2,0)*$C54*IF($F54="Optimization",2,1)</f>
        <v>0</v>
      </c>
      <c r="Y54" s="1" t="n">
        <f aca="false">+IF($D54&gt;Y$1-1,($G54+Y$1)^2,0)*$C54*IF($F54="Optimization",2,1)</f>
        <v>0</v>
      </c>
      <c r="Z54" s="1" t="n">
        <f aca="false">+IF($D54&gt;Z$1-1,($G54+Z$1)^2,0)*$C54*IF($F54="Optimization",2,1)</f>
        <v>0</v>
      </c>
      <c r="AC54" s="1" t="str">
        <f aca="false">CONCATENATE(A54,"- ",F54,"-",E54)</f>
        <v>Operational- Optimization-</v>
      </c>
    </row>
    <row r="55" customFormat="false" ht="15" hidden="false" customHeight="true" outlineLevel="0" collapsed="false">
      <c r="A55" s="5" t="s">
        <v>34</v>
      </c>
      <c r="B55" s="5" t="s">
        <v>52</v>
      </c>
      <c r="C55" s="6" t="n">
        <v>3</v>
      </c>
      <c r="D55" s="7" t="n">
        <f aca="false">Muck</f>
        <v>6</v>
      </c>
      <c r="E55" s="8" t="s">
        <v>38</v>
      </c>
      <c r="F55" s="8" t="s">
        <v>14</v>
      </c>
      <c r="G55" s="9" t="n">
        <v>2</v>
      </c>
      <c r="H55" s="9" t="n">
        <f aca="false">MAX(0,D55+G55)</f>
        <v>8</v>
      </c>
      <c r="I55" s="9" t="n">
        <f aca="false">IF(OR(C55="",H55=""),"",ROUNDUP(C55*H55^2/2,0))</f>
        <v>96</v>
      </c>
      <c r="J55" s="8" t="n">
        <f aca="false">TRUE()</f>
        <v>1</v>
      </c>
      <c r="K55" s="9" t="n">
        <f aca="false">IF(J55,I55,0)</f>
        <v>96</v>
      </c>
      <c r="L55" s="9" t="n">
        <f aca="false">IF(OR(C55="",D55=""),"",C55*D55*(D55+1)*(2*D55+1)/6)</f>
        <v>273</v>
      </c>
      <c r="N55" s="3" t="n">
        <f aca="false">+SUM(O55:Z55)</f>
        <v>1194</v>
      </c>
      <c r="O55" s="1" t="n">
        <f aca="false">+IF($D55&gt;O$1-1,($G55+O$1)^2,0)*$C55*IF($F55="Optimization",2,1)</f>
        <v>54</v>
      </c>
      <c r="P55" s="1" t="n">
        <f aca="false">+IF($D55&gt;P$1-1,($G55+P$1)^2,0)*$C55*IF($F55="Optimization",2,1)</f>
        <v>96</v>
      </c>
      <c r="Q55" s="1" t="n">
        <f aca="false">+IF($D55&gt;Q$1-1,($G55+Q$1)^2,0)*$C55*IF($F55="Optimization",2,1)</f>
        <v>150</v>
      </c>
      <c r="R55" s="1" t="n">
        <f aca="false">+IF($D55&gt;R$1-1,($G55+R$1)^2,0)*$C55*IF($F55="Optimization",2,1)</f>
        <v>216</v>
      </c>
      <c r="S55" s="1" t="n">
        <f aca="false">+IF($D55&gt;S$1-1,($G55+S$1)^2,0)*$C55*IF($F55="Optimization",2,1)</f>
        <v>294</v>
      </c>
      <c r="T55" s="1" t="n">
        <f aca="false">+IF($D55&gt;T$1-1,($G55+T$1)^2,0)*$C55*IF($F55="Optimization",2,1)</f>
        <v>384</v>
      </c>
      <c r="U55" s="1" t="n">
        <f aca="false">+IF($D55&gt;U$1-1,($G55+U$1)^2,0)*$C55*IF($F55="Optimization",2,1)</f>
        <v>0</v>
      </c>
      <c r="V55" s="1" t="n">
        <f aca="false">+IF($D55&gt;V$1-1,($G55+V$1)^2,0)*$C55*IF($F55="Optimization",2,1)</f>
        <v>0</v>
      </c>
      <c r="W55" s="1" t="n">
        <f aca="false">+IF($D55&gt;W$1-1,($G55+W$1)^2,0)*$C55*IF($F55="Optimization",2,1)</f>
        <v>0</v>
      </c>
      <c r="X55" s="1" t="n">
        <f aca="false">+IF($D55&gt;X$1-1,($G55+X$1)^2,0)*$C55*IF($F55="Optimization",2,1)</f>
        <v>0</v>
      </c>
      <c r="Y55" s="1" t="n">
        <f aca="false">+IF($D55&gt;Y$1-1,($G55+Y$1)^2,0)*$C55*IF($F55="Optimization",2,1)</f>
        <v>0</v>
      </c>
      <c r="Z55" s="1" t="n">
        <f aca="false">+IF($D55&gt;Z$1-1,($G55+Z$1)^2,0)*$C55*IF($F55="Optimization",2,1)</f>
        <v>0</v>
      </c>
      <c r="AC55" s="1" t="str">
        <f aca="false">CONCATENATE(A55,"- ",F55,"-",E55)</f>
        <v>Operational- Optimization-Sneak</v>
      </c>
    </row>
    <row r="56" customFormat="false" ht="15" hidden="false" customHeight="true" outlineLevel="0" collapsed="false">
      <c r="A56" s="5" t="s">
        <v>34</v>
      </c>
      <c r="B56" s="5" t="s">
        <v>52</v>
      </c>
      <c r="C56" s="6" t="n">
        <v>3</v>
      </c>
      <c r="D56" s="7" t="n">
        <f aca="false">Muck</f>
        <v>6</v>
      </c>
      <c r="E56" s="8"/>
      <c r="F56" s="8" t="s">
        <v>14</v>
      </c>
      <c r="G56" s="9"/>
      <c r="H56" s="9" t="n">
        <f aca="false">MAX(0,D56+G56)</f>
        <v>6</v>
      </c>
      <c r="I56" s="9" t="n">
        <f aca="false">IF(OR(C56="",H56=""),"",ROUNDUP(C56*H56^2/2,0))</f>
        <v>54</v>
      </c>
      <c r="J56" s="8" t="n">
        <f aca="false">TRUE()</f>
        <v>1</v>
      </c>
      <c r="K56" s="9" t="n">
        <f aca="false">IF(J56,I56,0)</f>
        <v>54</v>
      </c>
      <c r="L56" s="9" t="n">
        <f aca="false">IF(OR(C56="",D56=""),"",C56*D56*(D56+1)*(2*D56+1)/6)</f>
        <v>273</v>
      </c>
      <c r="N56" s="3" t="n">
        <f aca="false">+SUM(O56:Z56)</f>
        <v>546</v>
      </c>
      <c r="O56" s="1" t="n">
        <f aca="false">+IF($D56&gt;O$1-1,($G56+O$1)^2,0)*$C56*IF($F56="Optimization",2,1)</f>
        <v>6</v>
      </c>
      <c r="P56" s="1" t="n">
        <f aca="false">+IF($D56&gt;P$1-1,($G56+P$1)^2,0)*$C56*IF($F56="Optimization",2,1)</f>
        <v>24</v>
      </c>
      <c r="Q56" s="1" t="n">
        <f aca="false">+IF($D56&gt;Q$1-1,($G56+Q$1)^2,0)*$C56*IF($F56="Optimization",2,1)</f>
        <v>54</v>
      </c>
      <c r="R56" s="1" t="n">
        <f aca="false">+IF($D56&gt;R$1-1,($G56+R$1)^2,0)*$C56*IF($F56="Optimization",2,1)</f>
        <v>96</v>
      </c>
      <c r="S56" s="1" t="n">
        <f aca="false">+IF($D56&gt;S$1-1,($G56+S$1)^2,0)*$C56*IF($F56="Optimization",2,1)</f>
        <v>150</v>
      </c>
      <c r="T56" s="1" t="n">
        <f aca="false">+IF($D56&gt;T$1-1,($G56+T$1)^2,0)*$C56*IF($F56="Optimization",2,1)</f>
        <v>216</v>
      </c>
      <c r="U56" s="1" t="n">
        <f aca="false">+IF($D56&gt;U$1-1,($G56+U$1)^2,0)*$C56*IF($F56="Optimization",2,1)</f>
        <v>0</v>
      </c>
      <c r="V56" s="1" t="n">
        <f aca="false">+IF($D56&gt;V$1-1,($G56+V$1)^2,0)*$C56*IF($F56="Optimization",2,1)</f>
        <v>0</v>
      </c>
      <c r="W56" s="1" t="n">
        <f aca="false">+IF($D56&gt;W$1-1,($G56+W$1)^2,0)*$C56*IF($F56="Optimization",2,1)</f>
        <v>0</v>
      </c>
      <c r="X56" s="1" t="n">
        <f aca="false">+IF($D56&gt;X$1-1,($G56+X$1)^2,0)*$C56*IF($F56="Optimization",2,1)</f>
        <v>0</v>
      </c>
      <c r="Y56" s="1" t="n">
        <f aca="false">+IF($D56&gt;Y$1-1,($G56+Y$1)^2,0)*$C56*IF($F56="Optimization",2,1)</f>
        <v>0</v>
      </c>
      <c r="Z56" s="1" t="n">
        <f aca="false">+IF($D56&gt;Z$1-1,($G56+Z$1)^2,0)*$C56*IF($F56="Optimization",2,1)</f>
        <v>0</v>
      </c>
      <c r="AC56" s="1" t="str">
        <f aca="false">CONCATENATE(A56,"- ",F56,"-",E56)</f>
        <v>Operational- Optimization-</v>
      </c>
    </row>
    <row r="57" customFormat="false" ht="15" hidden="false" customHeight="true" outlineLevel="0" collapsed="false">
      <c r="A57" s="5" t="s">
        <v>34</v>
      </c>
      <c r="B57" s="5" t="s">
        <v>53</v>
      </c>
      <c r="C57" s="6" t="n">
        <v>3</v>
      </c>
      <c r="D57" s="7" t="n">
        <f aca="false">Muck</f>
        <v>6</v>
      </c>
      <c r="E57" s="8" t="s">
        <v>38</v>
      </c>
      <c r="F57" s="8" t="s">
        <v>14</v>
      </c>
      <c r="G57" s="9" t="n">
        <v>2</v>
      </c>
      <c r="H57" s="9" t="n">
        <f aca="false">MAX(0,D57+G57)</f>
        <v>8</v>
      </c>
      <c r="I57" s="9" t="n">
        <f aca="false">IF(OR(C57="",H57=""),"",ROUNDUP(C57*H57^2/2,0))</f>
        <v>96</v>
      </c>
      <c r="J57" s="8" t="n">
        <f aca="false">TRUE()</f>
        <v>1</v>
      </c>
      <c r="K57" s="9" t="n">
        <f aca="false">IF(J57,I57,0)</f>
        <v>96</v>
      </c>
      <c r="L57" s="9" t="n">
        <f aca="false">IF(OR(C57="",D57=""),"",C57*D57*(D57+1)*(2*D57+1)/6)</f>
        <v>273</v>
      </c>
      <c r="N57" s="3" t="n">
        <f aca="false">+SUM(O57:Z57)</f>
        <v>1194</v>
      </c>
      <c r="O57" s="1" t="n">
        <f aca="false">+IF($D57&gt;O$1-1,($G57+O$1)^2,0)*$C57*IF($F57="Optimization",2,1)</f>
        <v>54</v>
      </c>
      <c r="P57" s="1" t="n">
        <f aca="false">+IF($D57&gt;P$1-1,($G57+P$1)^2,0)*$C57*IF($F57="Optimization",2,1)</f>
        <v>96</v>
      </c>
      <c r="Q57" s="1" t="n">
        <f aca="false">+IF($D57&gt;Q$1-1,($G57+Q$1)^2,0)*$C57*IF($F57="Optimization",2,1)</f>
        <v>150</v>
      </c>
      <c r="R57" s="1" t="n">
        <f aca="false">+IF($D57&gt;R$1-1,($G57+R$1)^2,0)*$C57*IF($F57="Optimization",2,1)</f>
        <v>216</v>
      </c>
      <c r="S57" s="1" t="n">
        <f aca="false">+IF($D57&gt;S$1-1,($G57+S$1)^2,0)*$C57*IF($F57="Optimization",2,1)</f>
        <v>294</v>
      </c>
      <c r="T57" s="1" t="n">
        <f aca="false">+IF($D57&gt;T$1-1,($G57+T$1)^2,0)*$C57*IF($F57="Optimization",2,1)</f>
        <v>384</v>
      </c>
      <c r="U57" s="1" t="n">
        <f aca="false">+IF($D57&gt;U$1-1,($G57+U$1)^2,0)*$C57*IF($F57="Optimization",2,1)</f>
        <v>0</v>
      </c>
      <c r="V57" s="1" t="n">
        <f aca="false">+IF($D57&gt;V$1-1,($G57+V$1)^2,0)*$C57*IF($F57="Optimization",2,1)</f>
        <v>0</v>
      </c>
      <c r="W57" s="1" t="n">
        <f aca="false">+IF($D57&gt;W$1-1,($G57+W$1)^2,0)*$C57*IF($F57="Optimization",2,1)</f>
        <v>0</v>
      </c>
      <c r="X57" s="1" t="n">
        <f aca="false">+IF($D57&gt;X$1-1,($G57+X$1)^2,0)*$C57*IF($F57="Optimization",2,1)</f>
        <v>0</v>
      </c>
      <c r="Y57" s="1" t="n">
        <f aca="false">+IF($D57&gt;Y$1-1,($G57+Y$1)^2,0)*$C57*IF($F57="Optimization",2,1)</f>
        <v>0</v>
      </c>
      <c r="Z57" s="1" t="n">
        <f aca="false">+IF($D57&gt;Z$1-1,($G57+Z$1)^2,0)*$C57*IF($F57="Optimization",2,1)</f>
        <v>0</v>
      </c>
      <c r="AC57" s="1" t="str">
        <f aca="false">CONCATENATE(A57,"- ",F57,"-",E57)</f>
        <v>Operational- Optimization-Sneak</v>
      </c>
    </row>
    <row r="58" customFormat="false" ht="15" hidden="false" customHeight="true" outlineLevel="0" collapsed="false">
      <c r="A58" s="5" t="s">
        <v>34</v>
      </c>
      <c r="B58" s="5" t="s">
        <v>53</v>
      </c>
      <c r="C58" s="6" t="n">
        <v>3</v>
      </c>
      <c r="D58" s="7" t="n">
        <f aca="false">Muck</f>
        <v>6</v>
      </c>
      <c r="E58" s="8"/>
      <c r="F58" s="8" t="s">
        <v>14</v>
      </c>
      <c r="G58" s="9"/>
      <c r="H58" s="9" t="n">
        <f aca="false">MAX(0,D58+G58)</f>
        <v>6</v>
      </c>
      <c r="I58" s="9" t="n">
        <f aca="false">IF(OR(C58="",H58=""),"",ROUNDUP(C58*H58^2/2,0))</f>
        <v>54</v>
      </c>
      <c r="J58" s="8" t="n">
        <f aca="false">TRUE()</f>
        <v>1</v>
      </c>
      <c r="K58" s="9" t="n">
        <f aca="false">IF(J58,I58,0)</f>
        <v>54</v>
      </c>
      <c r="L58" s="9" t="n">
        <f aca="false">IF(OR(C58="",D58=""),"",C58*D58*(D58+1)*(2*D58+1)/6)</f>
        <v>273</v>
      </c>
      <c r="N58" s="3" t="n">
        <f aca="false">+SUM(O58:Z58)</f>
        <v>546</v>
      </c>
      <c r="O58" s="1" t="n">
        <f aca="false">+IF($D58&gt;O$1-1,($G58+O$1)^2,0)*$C58*IF($F58="Optimization",2,1)</f>
        <v>6</v>
      </c>
      <c r="P58" s="1" t="n">
        <f aca="false">+IF($D58&gt;P$1-1,($G58+P$1)^2,0)*$C58*IF($F58="Optimization",2,1)</f>
        <v>24</v>
      </c>
      <c r="Q58" s="1" t="n">
        <f aca="false">+IF($D58&gt;Q$1-1,($G58+Q$1)^2,0)*$C58*IF($F58="Optimization",2,1)</f>
        <v>54</v>
      </c>
      <c r="R58" s="1" t="n">
        <f aca="false">+IF($D58&gt;R$1-1,($G58+R$1)^2,0)*$C58*IF($F58="Optimization",2,1)</f>
        <v>96</v>
      </c>
      <c r="S58" s="1" t="n">
        <f aca="false">+IF($D58&gt;S$1-1,($G58+S$1)^2,0)*$C58*IF($F58="Optimization",2,1)</f>
        <v>150</v>
      </c>
      <c r="T58" s="1" t="n">
        <f aca="false">+IF($D58&gt;T$1-1,($G58+T$1)^2,0)*$C58*IF($F58="Optimization",2,1)</f>
        <v>216</v>
      </c>
      <c r="U58" s="1" t="n">
        <f aca="false">+IF($D58&gt;U$1-1,($G58+U$1)^2,0)*$C58*IF($F58="Optimization",2,1)</f>
        <v>0</v>
      </c>
      <c r="V58" s="1" t="n">
        <f aca="false">+IF($D58&gt;V$1-1,($G58+V$1)^2,0)*$C58*IF($F58="Optimization",2,1)</f>
        <v>0</v>
      </c>
      <c r="W58" s="1" t="n">
        <f aca="false">+IF($D58&gt;W$1-1,($G58+W$1)^2,0)*$C58*IF($F58="Optimization",2,1)</f>
        <v>0</v>
      </c>
      <c r="X58" s="1" t="n">
        <f aca="false">+IF($D58&gt;X$1-1,($G58+X$1)^2,0)*$C58*IF($F58="Optimization",2,1)</f>
        <v>0</v>
      </c>
      <c r="Y58" s="1" t="n">
        <f aca="false">+IF($D58&gt;Y$1-1,($G58+Y$1)^2,0)*$C58*IF($F58="Optimization",2,1)</f>
        <v>0</v>
      </c>
      <c r="Z58" s="1" t="n">
        <f aca="false">+IF($D58&gt;Z$1-1,($G58+Z$1)^2,0)*$C58*IF($F58="Optimization",2,1)</f>
        <v>0</v>
      </c>
      <c r="AC58" s="1" t="str">
        <f aca="false">CONCATENATE(A58,"- ",F58,"-",E58)</f>
        <v>Operational- Optimization-</v>
      </c>
    </row>
    <row r="59" customFormat="false" ht="15" hidden="false" customHeight="true" outlineLevel="0" collapsed="false">
      <c r="A59" s="5" t="s">
        <v>34</v>
      </c>
      <c r="B59" s="5" t="s">
        <v>54</v>
      </c>
      <c r="C59" s="6" t="n">
        <v>2</v>
      </c>
      <c r="D59" s="7" t="n">
        <f aca="false">Muck</f>
        <v>6</v>
      </c>
      <c r="E59" s="8" t="s">
        <v>38</v>
      </c>
      <c r="F59" s="8" t="s">
        <v>14</v>
      </c>
      <c r="G59" s="9" t="n">
        <v>2</v>
      </c>
      <c r="H59" s="9" t="n">
        <f aca="false">MAX(0,D59+G59)</f>
        <v>8</v>
      </c>
      <c r="I59" s="9" t="n">
        <f aca="false">IF(OR(C59="",H59=""),"",ROUNDUP(C59*H59^2/2,0))</f>
        <v>64</v>
      </c>
      <c r="J59" s="8" t="n">
        <f aca="false">TRUE()</f>
        <v>1</v>
      </c>
      <c r="K59" s="9" t="n">
        <f aca="false">IF(J59,I59,0)</f>
        <v>64</v>
      </c>
      <c r="L59" s="9" t="n">
        <f aca="false">IF(OR(C59="",D59=""),"",C59*D59*(D59+1)*(2*D59+1)/6)</f>
        <v>182</v>
      </c>
      <c r="N59" s="3" t="n">
        <f aca="false">+SUM(O59:Z59)</f>
        <v>796</v>
      </c>
      <c r="O59" s="1" t="n">
        <f aca="false">+IF($D59&gt;O$1-1,($G59+O$1)^2,0)*$C59*IF($F59="Optimization",2,1)</f>
        <v>36</v>
      </c>
      <c r="P59" s="1" t="n">
        <f aca="false">+IF($D59&gt;P$1-1,($G59+P$1)^2,0)*$C59*IF($F59="Optimization",2,1)</f>
        <v>64</v>
      </c>
      <c r="Q59" s="1" t="n">
        <f aca="false">+IF($D59&gt;Q$1-1,($G59+Q$1)^2,0)*$C59*IF($F59="Optimization",2,1)</f>
        <v>100</v>
      </c>
      <c r="R59" s="1" t="n">
        <f aca="false">+IF($D59&gt;R$1-1,($G59+R$1)^2,0)*$C59*IF($F59="Optimization",2,1)</f>
        <v>144</v>
      </c>
      <c r="S59" s="1" t="n">
        <f aca="false">+IF($D59&gt;S$1-1,($G59+S$1)^2,0)*$C59*IF($F59="Optimization",2,1)</f>
        <v>196</v>
      </c>
      <c r="T59" s="1" t="n">
        <f aca="false">+IF($D59&gt;T$1-1,($G59+T$1)^2,0)*$C59*IF($F59="Optimization",2,1)</f>
        <v>256</v>
      </c>
      <c r="U59" s="1" t="n">
        <f aca="false">+IF($D59&gt;U$1-1,($G59+U$1)^2,0)*$C59*IF($F59="Optimization",2,1)</f>
        <v>0</v>
      </c>
      <c r="V59" s="1" t="n">
        <f aca="false">+IF($D59&gt;V$1-1,($G59+V$1)^2,0)*$C59*IF($F59="Optimization",2,1)</f>
        <v>0</v>
      </c>
      <c r="W59" s="1" t="n">
        <f aca="false">+IF($D59&gt;W$1-1,($G59+W$1)^2,0)*$C59*IF($F59="Optimization",2,1)</f>
        <v>0</v>
      </c>
      <c r="X59" s="1" t="n">
        <f aca="false">+IF($D59&gt;X$1-1,($G59+X$1)^2,0)*$C59*IF($F59="Optimization",2,1)</f>
        <v>0</v>
      </c>
      <c r="Y59" s="1" t="n">
        <f aca="false">+IF($D59&gt;Y$1-1,($G59+Y$1)^2,0)*$C59*IF($F59="Optimization",2,1)</f>
        <v>0</v>
      </c>
      <c r="Z59" s="1" t="n">
        <f aca="false">+IF($D59&gt;Z$1-1,($G59+Z$1)^2,0)*$C59*IF($F59="Optimization",2,1)</f>
        <v>0</v>
      </c>
      <c r="AC59" s="1" t="str">
        <f aca="false">CONCATENATE(A59,"- ",F59,"-",E59)</f>
        <v>Operational- Optimization-Sneak</v>
      </c>
    </row>
    <row r="60" customFormat="false" ht="15" hidden="false" customHeight="true" outlineLevel="0" collapsed="false">
      <c r="A60" s="5" t="s">
        <v>34</v>
      </c>
      <c r="B60" s="5" t="s">
        <v>54</v>
      </c>
      <c r="C60" s="6" t="n">
        <v>2</v>
      </c>
      <c r="D60" s="7" t="n">
        <f aca="false">Muck</f>
        <v>6</v>
      </c>
      <c r="E60" s="8"/>
      <c r="F60" s="8" t="s">
        <v>14</v>
      </c>
      <c r="G60" s="9"/>
      <c r="H60" s="9" t="n">
        <f aca="false">MAX(0,D60+G60)</f>
        <v>6</v>
      </c>
      <c r="I60" s="9" t="n">
        <f aca="false">IF(OR(C60="",H60=""),"",ROUNDUP(C60*H60^2/2,0))</f>
        <v>36</v>
      </c>
      <c r="J60" s="8" t="n">
        <f aca="false">TRUE()</f>
        <v>1</v>
      </c>
      <c r="K60" s="9" t="n">
        <f aca="false">IF(J60,I60,0)</f>
        <v>36</v>
      </c>
      <c r="L60" s="9" t="n">
        <f aca="false">IF(OR(C60="",D60=""),"",C60*D60*(D60+1)*(2*D60+1)/6)</f>
        <v>182</v>
      </c>
      <c r="N60" s="3" t="n">
        <f aca="false">+SUM(O60:Z60)</f>
        <v>364</v>
      </c>
      <c r="O60" s="1" t="n">
        <f aca="false">+IF($D60&gt;O$1-1,($G60+O$1)^2,0)*$C60*IF($F60="Optimization",2,1)</f>
        <v>4</v>
      </c>
      <c r="P60" s="1" t="n">
        <f aca="false">+IF($D60&gt;P$1-1,($G60+P$1)^2,0)*$C60*IF($F60="Optimization",2,1)</f>
        <v>16</v>
      </c>
      <c r="Q60" s="1" t="n">
        <f aca="false">+IF($D60&gt;Q$1-1,($G60+Q$1)^2,0)*$C60*IF($F60="Optimization",2,1)</f>
        <v>36</v>
      </c>
      <c r="R60" s="1" t="n">
        <f aca="false">+IF($D60&gt;R$1-1,($G60+R$1)^2,0)*$C60*IF($F60="Optimization",2,1)</f>
        <v>64</v>
      </c>
      <c r="S60" s="1" t="n">
        <f aca="false">+IF($D60&gt;S$1-1,($G60+S$1)^2,0)*$C60*IF($F60="Optimization",2,1)</f>
        <v>100</v>
      </c>
      <c r="T60" s="1" t="n">
        <f aca="false">+IF($D60&gt;T$1-1,($G60+T$1)^2,0)*$C60*IF($F60="Optimization",2,1)</f>
        <v>144</v>
      </c>
      <c r="U60" s="1" t="n">
        <f aca="false">+IF($D60&gt;U$1-1,($G60+U$1)^2,0)*$C60*IF($F60="Optimization",2,1)</f>
        <v>0</v>
      </c>
      <c r="V60" s="1" t="n">
        <f aca="false">+IF($D60&gt;V$1-1,($G60+V$1)^2,0)*$C60*IF($F60="Optimization",2,1)</f>
        <v>0</v>
      </c>
      <c r="W60" s="1" t="n">
        <f aca="false">+IF($D60&gt;W$1-1,($G60+W$1)^2,0)*$C60*IF($F60="Optimization",2,1)</f>
        <v>0</v>
      </c>
      <c r="X60" s="1" t="n">
        <f aca="false">+IF($D60&gt;X$1-1,($G60+X$1)^2,0)*$C60*IF($F60="Optimization",2,1)</f>
        <v>0</v>
      </c>
      <c r="Y60" s="1" t="n">
        <f aca="false">+IF($D60&gt;Y$1-1,($G60+Y$1)^2,0)*$C60*IF($F60="Optimization",2,1)</f>
        <v>0</v>
      </c>
      <c r="Z60" s="1" t="n">
        <f aca="false">+IF($D60&gt;Z$1-1,($G60+Z$1)^2,0)*$C60*IF($F60="Optimization",2,1)</f>
        <v>0</v>
      </c>
      <c r="AC60" s="1" t="str">
        <f aca="false">CONCATENATE(A60,"- ",F60,"-",E60)</f>
        <v>Operational- Optimization-</v>
      </c>
    </row>
    <row r="61" customFormat="false" ht="15" hidden="false" customHeight="true" outlineLevel="0" collapsed="false">
      <c r="A61" s="5" t="s">
        <v>34</v>
      </c>
      <c r="B61" s="5" t="s">
        <v>55</v>
      </c>
      <c r="C61" s="6" t="n">
        <v>3</v>
      </c>
      <c r="D61" s="7" t="n">
        <f aca="false">Muck</f>
        <v>6</v>
      </c>
      <c r="E61" s="8" t="s">
        <v>38</v>
      </c>
      <c r="F61" s="8" t="s">
        <v>14</v>
      </c>
      <c r="G61" s="9" t="n">
        <v>2</v>
      </c>
      <c r="H61" s="9" t="n">
        <f aca="false">MAX(0,D61+G61)</f>
        <v>8</v>
      </c>
      <c r="I61" s="9" t="n">
        <f aca="false">IF(OR(C61="",H61=""),"",ROUNDUP(C61*H61^2/2,0))</f>
        <v>96</v>
      </c>
      <c r="J61" s="8" t="n">
        <f aca="false">TRUE()</f>
        <v>1</v>
      </c>
      <c r="K61" s="9" t="n">
        <f aca="false">IF(J61,I61,0)</f>
        <v>96</v>
      </c>
      <c r="L61" s="9" t="n">
        <f aca="false">IF(OR(C61="",D61=""),"",C61*D61*(D61+1)*(2*D61+1)/6)</f>
        <v>273</v>
      </c>
      <c r="N61" s="3" t="n">
        <f aca="false">+SUM(O61:Z61)</f>
        <v>1194</v>
      </c>
      <c r="O61" s="1" t="n">
        <f aca="false">+IF($D61&gt;O$1-1,($G61+O$1)^2,0)*$C61*IF($F61="Optimization",2,1)</f>
        <v>54</v>
      </c>
      <c r="P61" s="1" t="n">
        <f aca="false">+IF($D61&gt;P$1-1,($G61+P$1)^2,0)*$C61*IF($F61="Optimization",2,1)</f>
        <v>96</v>
      </c>
      <c r="Q61" s="1" t="n">
        <f aca="false">+IF($D61&gt;Q$1-1,($G61+Q$1)^2,0)*$C61*IF($F61="Optimization",2,1)</f>
        <v>150</v>
      </c>
      <c r="R61" s="1" t="n">
        <f aca="false">+IF($D61&gt;R$1-1,($G61+R$1)^2,0)*$C61*IF($F61="Optimization",2,1)</f>
        <v>216</v>
      </c>
      <c r="S61" s="1" t="n">
        <f aca="false">+IF($D61&gt;S$1-1,($G61+S$1)^2,0)*$C61*IF($F61="Optimization",2,1)</f>
        <v>294</v>
      </c>
      <c r="T61" s="1" t="n">
        <f aca="false">+IF($D61&gt;T$1-1,($G61+T$1)^2,0)*$C61*IF($F61="Optimization",2,1)</f>
        <v>384</v>
      </c>
      <c r="U61" s="1" t="n">
        <f aca="false">+IF($D61&gt;U$1-1,($G61+U$1)^2,0)*$C61*IF($F61="Optimization",2,1)</f>
        <v>0</v>
      </c>
      <c r="V61" s="1" t="n">
        <f aca="false">+IF($D61&gt;V$1-1,($G61+V$1)^2,0)*$C61*IF($F61="Optimization",2,1)</f>
        <v>0</v>
      </c>
      <c r="W61" s="1" t="n">
        <f aca="false">+IF($D61&gt;W$1-1,($G61+W$1)^2,0)*$C61*IF($F61="Optimization",2,1)</f>
        <v>0</v>
      </c>
      <c r="X61" s="1" t="n">
        <f aca="false">+IF($D61&gt;X$1-1,($G61+X$1)^2,0)*$C61*IF($F61="Optimization",2,1)</f>
        <v>0</v>
      </c>
      <c r="Y61" s="1" t="n">
        <f aca="false">+IF($D61&gt;Y$1-1,($G61+Y$1)^2,0)*$C61*IF($F61="Optimization",2,1)</f>
        <v>0</v>
      </c>
      <c r="Z61" s="1" t="n">
        <f aca="false">+IF($D61&gt;Z$1-1,($G61+Z$1)^2,0)*$C61*IF($F61="Optimization",2,1)</f>
        <v>0</v>
      </c>
      <c r="AC61" s="1" t="str">
        <f aca="false">CONCATENATE(A61,"- ",F61,"-",E61)</f>
        <v>Operational- Optimization-Sneak</v>
      </c>
    </row>
    <row r="62" customFormat="false" ht="15" hidden="false" customHeight="true" outlineLevel="0" collapsed="false">
      <c r="A62" s="5" t="s">
        <v>34</v>
      </c>
      <c r="B62" s="5" t="s">
        <v>55</v>
      </c>
      <c r="C62" s="6" t="n">
        <v>3</v>
      </c>
      <c r="D62" s="7" t="n">
        <f aca="false">Muck</f>
        <v>6</v>
      </c>
      <c r="E62" s="8"/>
      <c r="F62" s="8" t="s">
        <v>14</v>
      </c>
      <c r="G62" s="9"/>
      <c r="H62" s="9" t="n">
        <f aca="false">MAX(0,D62+G62)</f>
        <v>6</v>
      </c>
      <c r="I62" s="9" t="n">
        <f aca="false">IF(OR(C62="",H62=""),"",ROUNDUP(C62*H62^2/2,0))</f>
        <v>54</v>
      </c>
      <c r="J62" s="8" t="n">
        <f aca="false">TRUE()</f>
        <v>1</v>
      </c>
      <c r="K62" s="9" t="n">
        <f aca="false">IF(J62,I62,0)</f>
        <v>54</v>
      </c>
      <c r="L62" s="9" t="n">
        <f aca="false">IF(OR(C62="",D62=""),"",C62*D62*(D62+1)*(2*D62+1)/6)</f>
        <v>273</v>
      </c>
      <c r="N62" s="3" t="n">
        <f aca="false">+SUM(O62:Z62)</f>
        <v>546</v>
      </c>
      <c r="O62" s="1" t="n">
        <f aca="false">+IF($D62&gt;O$1-1,($G62+O$1)^2,0)*$C62*IF($F62="Optimization",2,1)</f>
        <v>6</v>
      </c>
      <c r="P62" s="1" t="n">
        <f aca="false">+IF($D62&gt;P$1-1,($G62+P$1)^2,0)*$C62*IF($F62="Optimization",2,1)</f>
        <v>24</v>
      </c>
      <c r="Q62" s="1" t="n">
        <f aca="false">+IF($D62&gt;Q$1-1,($G62+Q$1)^2,0)*$C62*IF($F62="Optimization",2,1)</f>
        <v>54</v>
      </c>
      <c r="R62" s="1" t="n">
        <f aca="false">+IF($D62&gt;R$1-1,($G62+R$1)^2,0)*$C62*IF($F62="Optimization",2,1)</f>
        <v>96</v>
      </c>
      <c r="S62" s="1" t="n">
        <f aca="false">+IF($D62&gt;S$1-1,($G62+S$1)^2,0)*$C62*IF($F62="Optimization",2,1)</f>
        <v>150</v>
      </c>
      <c r="T62" s="1" t="n">
        <f aca="false">+IF($D62&gt;T$1-1,($G62+T$1)^2,0)*$C62*IF($F62="Optimization",2,1)</f>
        <v>216</v>
      </c>
      <c r="U62" s="1" t="n">
        <f aca="false">+IF($D62&gt;U$1-1,($G62+U$1)^2,0)*$C62*IF($F62="Optimization",2,1)</f>
        <v>0</v>
      </c>
      <c r="V62" s="1" t="n">
        <f aca="false">+IF($D62&gt;V$1-1,($G62+V$1)^2,0)*$C62*IF($F62="Optimization",2,1)</f>
        <v>0</v>
      </c>
      <c r="W62" s="1" t="n">
        <f aca="false">+IF($D62&gt;W$1-1,($G62+W$1)^2,0)*$C62*IF($F62="Optimization",2,1)</f>
        <v>0</v>
      </c>
      <c r="X62" s="1" t="n">
        <f aca="false">+IF($D62&gt;X$1-1,($G62+X$1)^2,0)*$C62*IF($F62="Optimization",2,1)</f>
        <v>0</v>
      </c>
      <c r="Y62" s="1" t="n">
        <f aca="false">+IF($D62&gt;Y$1-1,($G62+Y$1)^2,0)*$C62*IF($F62="Optimization",2,1)</f>
        <v>0</v>
      </c>
      <c r="Z62" s="1" t="n">
        <f aca="false">+IF($D62&gt;Z$1-1,($G62+Z$1)^2,0)*$C62*IF($F62="Optimization",2,1)</f>
        <v>0</v>
      </c>
      <c r="AC62" s="1" t="str">
        <f aca="false">CONCATENATE(A62,"- ",F62,"-",E62)</f>
        <v>Operational- Optimization-</v>
      </c>
    </row>
    <row r="63" customFormat="false" ht="15" hidden="false" customHeight="true" outlineLevel="0" collapsed="false">
      <c r="A63" s="5" t="s">
        <v>34</v>
      </c>
      <c r="B63" s="5" t="s">
        <v>56</v>
      </c>
      <c r="C63" s="6" t="n">
        <v>3</v>
      </c>
      <c r="D63" s="7" t="n">
        <f aca="false">Muck</f>
        <v>6</v>
      </c>
      <c r="E63" s="8" t="s">
        <v>38</v>
      </c>
      <c r="F63" s="8" t="s">
        <v>14</v>
      </c>
      <c r="G63" s="9" t="n">
        <v>2</v>
      </c>
      <c r="H63" s="9" t="n">
        <f aca="false">MAX(0,D63+G63)</f>
        <v>8</v>
      </c>
      <c r="I63" s="9" t="n">
        <f aca="false">IF(OR(C63="",H63=""),"",ROUNDUP(C63*H63^2/2,0))</f>
        <v>96</v>
      </c>
      <c r="J63" s="8" t="n">
        <f aca="false">TRUE()</f>
        <v>1</v>
      </c>
      <c r="K63" s="9" t="n">
        <f aca="false">IF(J63,I63,0)</f>
        <v>96</v>
      </c>
      <c r="L63" s="9" t="n">
        <f aca="false">IF(OR(C63="",D63=""),"",C63*D63*(D63+1)*(2*D63+1)/6)</f>
        <v>273</v>
      </c>
      <c r="N63" s="3" t="n">
        <f aca="false">+SUM(O63:Z63)</f>
        <v>1194</v>
      </c>
      <c r="O63" s="1" t="n">
        <f aca="false">+IF($D63&gt;O$1-1,($G63+O$1)^2,0)*$C63*IF($F63="Optimization",2,1)</f>
        <v>54</v>
      </c>
      <c r="P63" s="1" t="n">
        <f aca="false">+IF($D63&gt;P$1-1,($G63+P$1)^2,0)*$C63*IF($F63="Optimization",2,1)</f>
        <v>96</v>
      </c>
      <c r="Q63" s="1" t="n">
        <f aca="false">+IF($D63&gt;Q$1-1,($G63+Q$1)^2,0)*$C63*IF($F63="Optimization",2,1)</f>
        <v>150</v>
      </c>
      <c r="R63" s="1" t="n">
        <f aca="false">+IF($D63&gt;R$1-1,($G63+R$1)^2,0)*$C63*IF($F63="Optimization",2,1)</f>
        <v>216</v>
      </c>
      <c r="S63" s="1" t="n">
        <f aca="false">+IF($D63&gt;S$1-1,($G63+S$1)^2,0)*$C63*IF($F63="Optimization",2,1)</f>
        <v>294</v>
      </c>
      <c r="T63" s="1" t="n">
        <f aca="false">+IF($D63&gt;T$1-1,($G63+T$1)^2,0)*$C63*IF($F63="Optimization",2,1)</f>
        <v>384</v>
      </c>
      <c r="U63" s="1" t="n">
        <f aca="false">+IF($D63&gt;U$1-1,($G63+U$1)^2,0)*$C63*IF($F63="Optimization",2,1)</f>
        <v>0</v>
      </c>
      <c r="V63" s="1" t="n">
        <f aca="false">+IF($D63&gt;V$1-1,($G63+V$1)^2,0)*$C63*IF($F63="Optimization",2,1)</f>
        <v>0</v>
      </c>
      <c r="W63" s="1" t="n">
        <f aca="false">+IF($D63&gt;W$1-1,($G63+W$1)^2,0)*$C63*IF($F63="Optimization",2,1)</f>
        <v>0</v>
      </c>
      <c r="X63" s="1" t="n">
        <f aca="false">+IF($D63&gt;X$1-1,($G63+X$1)^2,0)*$C63*IF($F63="Optimization",2,1)</f>
        <v>0</v>
      </c>
      <c r="Y63" s="1" t="n">
        <f aca="false">+IF($D63&gt;Y$1-1,($G63+Y$1)^2,0)*$C63*IF($F63="Optimization",2,1)</f>
        <v>0</v>
      </c>
      <c r="Z63" s="1" t="n">
        <f aca="false">+IF($D63&gt;Z$1-1,($G63+Z$1)^2,0)*$C63*IF($F63="Optimization",2,1)</f>
        <v>0</v>
      </c>
      <c r="AC63" s="1" t="str">
        <f aca="false">CONCATENATE(A63,"- ",F63,"-",E63)</f>
        <v>Operational- Optimization-Sneak</v>
      </c>
    </row>
    <row r="64" customFormat="false" ht="15" hidden="false" customHeight="true" outlineLevel="0" collapsed="false">
      <c r="A64" s="5" t="s">
        <v>34</v>
      </c>
      <c r="B64" s="5" t="s">
        <v>56</v>
      </c>
      <c r="C64" s="6" t="n">
        <v>3</v>
      </c>
      <c r="D64" s="7" t="n">
        <f aca="false">Muck</f>
        <v>6</v>
      </c>
      <c r="E64" s="8"/>
      <c r="F64" s="8" t="s">
        <v>14</v>
      </c>
      <c r="G64" s="9"/>
      <c r="H64" s="9" t="n">
        <f aca="false">MAX(0,D64+G64)</f>
        <v>6</v>
      </c>
      <c r="I64" s="9" t="n">
        <f aca="false">IF(OR(C64="",H64=""),"",ROUNDUP(C64*H64^2/2,0))</f>
        <v>54</v>
      </c>
      <c r="J64" s="8" t="n">
        <f aca="false">TRUE()</f>
        <v>1</v>
      </c>
      <c r="K64" s="9" t="n">
        <f aca="false">IF(J64,I64,0)</f>
        <v>54</v>
      </c>
      <c r="L64" s="9" t="n">
        <f aca="false">IF(OR(C64="",D64=""),"",C64*D64*(D64+1)*(2*D64+1)/6)</f>
        <v>273</v>
      </c>
      <c r="N64" s="3" t="n">
        <f aca="false">+SUM(O64:Z64)</f>
        <v>546</v>
      </c>
      <c r="O64" s="1" t="n">
        <f aca="false">+IF($D64&gt;O$1-1,($G64+O$1)^2,0)*$C64*IF($F64="Optimization",2,1)</f>
        <v>6</v>
      </c>
      <c r="P64" s="1" t="n">
        <f aca="false">+IF($D64&gt;P$1-1,($G64+P$1)^2,0)*$C64*IF($F64="Optimization",2,1)</f>
        <v>24</v>
      </c>
      <c r="Q64" s="1" t="n">
        <f aca="false">+IF($D64&gt;Q$1-1,($G64+Q$1)^2,0)*$C64*IF($F64="Optimization",2,1)</f>
        <v>54</v>
      </c>
      <c r="R64" s="1" t="n">
        <f aca="false">+IF($D64&gt;R$1-1,($G64+R$1)^2,0)*$C64*IF($F64="Optimization",2,1)</f>
        <v>96</v>
      </c>
      <c r="S64" s="1" t="n">
        <f aca="false">+IF($D64&gt;S$1-1,($G64+S$1)^2,0)*$C64*IF($F64="Optimization",2,1)</f>
        <v>150</v>
      </c>
      <c r="T64" s="1" t="n">
        <f aca="false">+IF($D64&gt;T$1-1,($G64+T$1)^2,0)*$C64*IF($F64="Optimization",2,1)</f>
        <v>216</v>
      </c>
      <c r="U64" s="1" t="n">
        <f aca="false">+IF($D64&gt;U$1-1,($G64+U$1)^2,0)*$C64*IF($F64="Optimization",2,1)</f>
        <v>0</v>
      </c>
      <c r="V64" s="1" t="n">
        <f aca="false">+IF($D64&gt;V$1-1,($G64+V$1)^2,0)*$C64*IF($F64="Optimization",2,1)</f>
        <v>0</v>
      </c>
      <c r="W64" s="1" t="n">
        <f aca="false">+IF($D64&gt;W$1-1,($G64+W$1)^2,0)*$C64*IF($F64="Optimization",2,1)</f>
        <v>0</v>
      </c>
      <c r="X64" s="1" t="n">
        <f aca="false">+IF($D64&gt;X$1-1,($G64+X$1)^2,0)*$C64*IF($F64="Optimization",2,1)</f>
        <v>0</v>
      </c>
      <c r="Y64" s="1" t="n">
        <f aca="false">+IF($D64&gt;Y$1-1,($G64+Y$1)^2,0)*$C64*IF($F64="Optimization",2,1)</f>
        <v>0</v>
      </c>
      <c r="Z64" s="1" t="n">
        <f aca="false">+IF($D64&gt;Z$1-1,($G64+Z$1)^2,0)*$C64*IF($F64="Optimization",2,1)</f>
        <v>0</v>
      </c>
      <c r="AC64" s="1" t="str">
        <f aca="false">CONCATENATE(A64,"- ",F64,"-",E64)</f>
        <v>Operational- Optimization-</v>
      </c>
    </row>
    <row r="65" customFormat="false" ht="15" hidden="false" customHeight="true" outlineLevel="0" collapsed="false">
      <c r="A65" s="5" t="s">
        <v>34</v>
      </c>
      <c r="B65" s="5" t="s">
        <v>57</v>
      </c>
      <c r="C65" s="6" t="n">
        <v>2</v>
      </c>
      <c r="D65" s="7" t="n">
        <f aca="false">Muck</f>
        <v>6</v>
      </c>
      <c r="E65" s="8" t="s">
        <v>38</v>
      </c>
      <c r="F65" s="8" t="s">
        <v>14</v>
      </c>
      <c r="G65" s="9" t="n">
        <v>2</v>
      </c>
      <c r="H65" s="9" t="n">
        <f aca="false">MAX(0,D65+G65)</f>
        <v>8</v>
      </c>
      <c r="I65" s="9" t="n">
        <f aca="false">IF(OR(C65="",H65=""),"",ROUNDUP(C65*H65^2/2,0))</f>
        <v>64</v>
      </c>
      <c r="J65" s="8" t="n">
        <f aca="false">TRUE()</f>
        <v>1</v>
      </c>
      <c r="K65" s="9" t="n">
        <f aca="false">IF(J65,I65,0)</f>
        <v>64</v>
      </c>
      <c r="L65" s="9" t="n">
        <f aca="false">IF(OR(C65="",D65=""),"",C65*D65*(D65+1)*(2*D65+1)/6)</f>
        <v>182</v>
      </c>
      <c r="N65" s="3" t="n">
        <f aca="false">+SUM(O65:Z65)</f>
        <v>796</v>
      </c>
      <c r="O65" s="1" t="n">
        <f aca="false">+IF($D65&gt;O$1-1,($G65+O$1)^2,0)*$C65*IF($F65="Optimization",2,1)</f>
        <v>36</v>
      </c>
      <c r="P65" s="1" t="n">
        <f aca="false">+IF($D65&gt;P$1-1,($G65+P$1)^2,0)*$C65*IF($F65="Optimization",2,1)</f>
        <v>64</v>
      </c>
      <c r="Q65" s="1" t="n">
        <f aca="false">+IF($D65&gt;Q$1-1,($G65+Q$1)^2,0)*$C65*IF($F65="Optimization",2,1)</f>
        <v>100</v>
      </c>
      <c r="R65" s="1" t="n">
        <f aca="false">+IF($D65&gt;R$1-1,($G65+R$1)^2,0)*$C65*IF($F65="Optimization",2,1)</f>
        <v>144</v>
      </c>
      <c r="S65" s="1" t="n">
        <f aca="false">+IF($D65&gt;S$1-1,($G65+S$1)^2,0)*$C65*IF($F65="Optimization",2,1)</f>
        <v>196</v>
      </c>
      <c r="T65" s="1" t="n">
        <f aca="false">+IF($D65&gt;T$1-1,($G65+T$1)^2,0)*$C65*IF($F65="Optimization",2,1)</f>
        <v>256</v>
      </c>
      <c r="U65" s="1" t="n">
        <f aca="false">+IF($D65&gt;U$1-1,($G65+U$1)^2,0)*$C65*IF($F65="Optimization",2,1)</f>
        <v>0</v>
      </c>
      <c r="V65" s="1" t="n">
        <f aca="false">+IF($D65&gt;V$1-1,($G65+V$1)^2,0)*$C65*IF($F65="Optimization",2,1)</f>
        <v>0</v>
      </c>
      <c r="W65" s="1" t="n">
        <f aca="false">+IF($D65&gt;W$1-1,($G65+W$1)^2,0)*$C65*IF($F65="Optimization",2,1)</f>
        <v>0</v>
      </c>
      <c r="X65" s="1" t="n">
        <f aca="false">+IF($D65&gt;X$1-1,($G65+X$1)^2,0)*$C65*IF($F65="Optimization",2,1)</f>
        <v>0</v>
      </c>
      <c r="Y65" s="1" t="n">
        <f aca="false">+IF($D65&gt;Y$1-1,($G65+Y$1)^2,0)*$C65*IF($F65="Optimization",2,1)</f>
        <v>0</v>
      </c>
      <c r="Z65" s="1" t="n">
        <f aca="false">+IF($D65&gt;Z$1-1,($G65+Z$1)^2,0)*$C65*IF($F65="Optimization",2,1)</f>
        <v>0</v>
      </c>
      <c r="AC65" s="1" t="str">
        <f aca="false">CONCATENATE(A65,"- ",F65,"-",E65)</f>
        <v>Operational- Optimization-Sneak</v>
      </c>
    </row>
    <row r="66" customFormat="false" ht="15" hidden="false" customHeight="true" outlineLevel="0" collapsed="false">
      <c r="A66" s="5" t="s">
        <v>34</v>
      </c>
      <c r="B66" s="5" t="s">
        <v>57</v>
      </c>
      <c r="C66" s="6" t="n">
        <v>2</v>
      </c>
      <c r="D66" s="7" t="n">
        <f aca="false">Muck</f>
        <v>6</v>
      </c>
      <c r="E66" s="8"/>
      <c r="F66" s="8" t="s">
        <v>14</v>
      </c>
      <c r="G66" s="9"/>
      <c r="H66" s="9" t="n">
        <f aca="false">MAX(0,D66+G66)</f>
        <v>6</v>
      </c>
      <c r="I66" s="9" t="n">
        <f aca="false">IF(OR(C66="",H66=""),"",ROUNDUP(C66*H66^2/2,0))</f>
        <v>36</v>
      </c>
      <c r="J66" s="8" t="n">
        <f aca="false">TRUE()</f>
        <v>1</v>
      </c>
      <c r="K66" s="9" t="n">
        <f aca="false">IF(J66,I66,0)</f>
        <v>36</v>
      </c>
      <c r="L66" s="9" t="n">
        <f aca="false">IF(OR(C66="",D66=""),"",C66*D66*(D66+1)*(2*D66+1)/6)</f>
        <v>182</v>
      </c>
      <c r="N66" s="3" t="n">
        <f aca="false">+SUM(O66:Z66)</f>
        <v>364</v>
      </c>
      <c r="O66" s="1" t="n">
        <f aca="false">+IF($D66&gt;O$1-1,($G66+O$1)^2,0)*$C66*IF($F66="Optimization",2,1)</f>
        <v>4</v>
      </c>
      <c r="P66" s="1" t="n">
        <f aca="false">+IF($D66&gt;P$1-1,($G66+P$1)^2,0)*$C66*IF($F66="Optimization",2,1)</f>
        <v>16</v>
      </c>
      <c r="Q66" s="1" t="n">
        <f aca="false">+IF($D66&gt;Q$1-1,($G66+Q$1)^2,0)*$C66*IF($F66="Optimization",2,1)</f>
        <v>36</v>
      </c>
      <c r="R66" s="1" t="n">
        <f aca="false">+IF($D66&gt;R$1-1,($G66+R$1)^2,0)*$C66*IF($F66="Optimization",2,1)</f>
        <v>64</v>
      </c>
      <c r="S66" s="1" t="n">
        <f aca="false">+IF($D66&gt;S$1-1,($G66+S$1)^2,0)*$C66*IF($F66="Optimization",2,1)</f>
        <v>100</v>
      </c>
      <c r="T66" s="1" t="n">
        <f aca="false">+IF($D66&gt;T$1-1,($G66+T$1)^2,0)*$C66*IF($F66="Optimization",2,1)</f>
        <v>144</v>
      </c>
      <c r="U66" s="1" t="n">
        <f aca="false">+IF($D66&gt;U$1-1,($G66+U$1)^2,0)*$C66*IF($F66="Optimization",2,1)</f>
        <v>0</v>
      </c>
      <c r="V66" s="1" t="n">
        <f aca="false">+IF($D66&gt;V$1-1,($G66+V$1)^2,0)*$C66*IF($F66="Optimization",2,1)</f>
        <v>0</v>
      </c>
      <c r="W66" s="1" t="n">
        <f aca="false">+IF($D66&gt;W$1-1,($G66+W$1)^2,0)*$C66*IF($F66="Optimization",2,1)</f>
        <v>0</v>
      </c>
      <c r="X66" s="1" t="n">
        <f aca="false">+IF($D66&gt;X$1-1,($G66+X$1)^2,0)*$C66*IF($F66="Optimization",2,1)</f>
        <v>0</v>
      </c>
      <c r="Y66" s="1" t="n">
        <f aca="false">+IF($D66&gt;Y$1-1,($G66+Y$1)^2,0)*$C66*IF($F66="Optimization",2,1)</f>
        <v>0</v>
      </c>
      <c r="Z66" s="1" t="n">
        <f aca="false">+IF($D66&gt;Z$1-1,($G66+Z$1)^2,0)*$C66*IF($F66="Optimization",2,1)</f>
        <v>0</v>
      </c>
      <c r="AC66" s="1" t="str">
        <f aca="false">CONCATENATE(A66,"- ",F66,"-",E66)</f>
        <v>Operational- Optimization-</v>
      </c>
    </row>
    <row r="67" customFormat="false" ht="15" hidden="false" customHeight="true" outlineLevel="0" collapsed="false">
      <c r="A67" s="5" t="s">
        <v>34</v>
      </c>
      <c r="B67" s="5" t="s">
        <v>58</v>
      </c>
      <c r="C67" s="6" t="n">
        <v>4</v>
      </c>
      <c r="D67" s="7" t="n">
        <f aca="false">Muck</f>
        <v>6</v>
      </c>
      <c r="E67" s="8" t="s">
        <v>38</v>
      </c>
      <c r="F67" s="8" t="s">
        <v>14</v>
      </c>
      <c r="G67" s="9" t="n">
        <v>2</v>
      </c>
      <c r="H67" s="9" t="n">
        <f aca="false">MAX(0,D67+G67)</f>
        <v>8</v>
      </c>
      <c r="I67" s="9" t="n">
        <f aca="false">IF(OR(C67="",H67=""),"",ROUNDUP(C67*H67^2/2,0))</f>
        <v>128</v>
      </c>
      <c r="J67" s="8" t="n">
        <f aca="false">TRUE()</f>
        <v>1</v>
      </c>
      <c r="K67" s="9" t="n">
        <f aca="false">IF(J67,I67,0)</f>
        <v>128</v>
      </c>
      <c r="L67" s="9" t="n">
        <f aca="false">IF(OR(C67="",D67=""),"",C67*D67*(D67+1)*(2*D67+1)/6)</f>
        <v>364</v>
      </c>
      <c r="N67" s="3" t="n">
        <f aca="false">+SUM(O67:Z67)</f>
        <v>1592</v>
      </c>
      <c r="O67" s="1" t="n">
        <f aca="false">+IF($D67&gt;O$1-1,($G67+O$1)^2,0)*$C67*IF($F67="Optimization",2,1)</f>
        <v>72</v>
      </c>
      <c r="P67" s="1" t="n">
        <f aca="false">+IF($D67&gt;P$1-1,($G67+P$1)^2,0)*$C67*IF($F67="Optimization",2,1)</f>
        <v>128</v>
      </c>
      <c r="Q67" s="1" t="n">
        <f aca="false">+IF($D67&gt;Q$1-1,($G67+Q$1)^2,0)*$C67*IF($F67="Optimization",2,1)</f>
        <v>200</v>
      </c>
      <c r="R67" s="1" t="n">
        <f aca="false">+IF($D67&gt;R$1-1,($G67+R$1)^2,0)*$C67*IF($F67="Optimization",2,1)</f>
        <v>288</v>
      </c>
      <c r="S67" s="1" t="n">
        <f aca="false">+IF($D67&gt;S$1-1,($G67+S$1)^2,0)*$C67*IF($F67="Optimization",2,1)</f>
        <v>392</v>
      </c>
      <c r="T67" s="1" t="n">
        <f aca="false">+IF($D67&gt;T$1-1,($G67+T$1)^2,0)*$C67*IF($F67="Optimization",2,1)</f>
        <v>512</v>
      </c>
      <c r="U67" s="1" t="n">
        <f aca="false">+IF($D67&gt;U$1-1,($G67+U$1)^2,0)*$C67*IF($F67="Optimization",2,1)</f>
        <v>0</v>
      </c>
      <c r="V67" s="1" t="n">
        <f aca="false">+IF($D67&gt;V$1-1,($G67+V$1)^2,0)*$C67*IF($F67="Optimization",2,1)</f>
        <v>0</v>
      </c>
      <c r="W67" s="1" t="n">
        <f aca="false">+IF($D67&gt;W$1-1,($G67+W$1)^2,0)*$C67*IF($F67="Optimization",2,1)</f>
        <v>0</v>
      </c>
      <c r="X67" s="1" t="n">
        <f aca="false">+IF($D67&gt;X$1-1,($G67+X$1)^2,0)*$C67*IF($F67="Optimization",2,1)</f>
        <v>0</v>
      </c>
      <c r="Y67" s="1" t="n">
        <f aca="false">+IF($D67&gt;Y$1-1,($G67+Y$1)^2,0)*$C67*IF($F67="Optimization",2,1)</f>
        <v>0</v>
      </c>
      <c r="Z67" s="1" t="n">
        <f aca="false">+IF($D67&gt;Z$1-1,($G67+Z$1)^2,0)*$C67*IF($F67="Optimization",2,1)</f>
        <v>0</v>
      </c>
      <c r="AC67" s="1" t="str">
        <f aca="false">CONCATENATE(A67,"- ",F67,"-",E67)</f>
        <v>Operational- Optimization-Sneak</v>
      </c>
    </row>
    <row r="68" customFormat="false" ht="15" hidden="false" customHeight="true" outlineLevel="0" collapsed="false">
      <c r="A68" s="5" t="s">
        <v>34</v>
      </c>
      <c r="B68" s="5" t="s">
        <v>58</v>
      </c>
      <c r="C68" s="6" t="n">
        <v>4</v>
      </c>
      <c r="D68" s="7" t="n">
        <f aca="false">Muck</f>
        <v>6</v>
      </c>
      <c r="E68" s="8"/>
      <c r="F68" s="8" t="s">
        <v>14</v>
      </c>
      <c r="G68" s="9"/>
      <c r="H68" s="9" t="n">
        <f aca="false">MAX(0,D68+G68)</f>
        <v>6</v>
      </c>
      <c r="I68" s="9" t="n">
        <f aca="false">IF(OR(C68="",H68=""),"",ROUNDUP(C68*H68^2/2,0))</f>
        <v>72</v>
      </c>
      <c r="J68" s="8" t="n">
        <f aca="false">TRUE()</f>
        <v>1</v>
      </c>
      <c r="K68" s="9" t="n">
        <f aca="false">IF(J68,I68,0)</f>
        <v>72</v>
      </c>
      <c r="L68" s="9" t="n">
        <f aca="false">IF(OR(C68="",D68=""),"",C68*D68*(D68+1)*(2*D68+1)/6)</f>
        <v>364</v>
      </c>
      <c r="N68" s="3" t="n">
        <f aca="false">+SUM(O68:Z68)</f>
        <v>728</v>
      </c>
      <c r="O68" s="1" t="n">
        <f aca="false">+IF($D68&gt;O$1-1,($G68+O$1)^2,0)*$C68*IF($F68="Optimization",2,1)</f>
        <v>8</v>
      </c>
      <c r="P68" s="1" t="n">
        <f aca="false">+IF($D68&gt;P$1-1,($G68+P$1)^2,0)*$C68*IF($F68="Optimization",2,1)</f>
        <v>32</v>
      </c>
      <c r="Q68" s="1" t="n">
        <f aca="false">+IF($D68&gt;Q$1-1,($G68+Q$1)^2,0)*$C68*IF($F68="Optimization",2,1)</f>
        <v>72</v>
      </c>
      <c r="R68" s="1" t="n">
        <f aca="false">+IF($D68&gt;R$1-1,($G68+R$1)^2,0)*$C68*IF($F68="Optimization",2,1)</f>
        <v>128</v>
      </c>
      <c r="S68" s="1" t="n">
        <f aca="false">+IF($D68&gt;S$1-1,($G68+S$1)^2,0)*$C68*IF($F68="Optimization",2,1)</f>
        <v>200</v>
      </c>
      <c r="T68" s="1" t="n">
        <f aca="false">+IF($D68&gt;T$1-1,($G68+T$1)^2,0)*$C68*IF($F68="Optimization",2,1)</f>
        <v>288</v>
      </c>
      <c r="U68" s="1" t="n">
        <f aca="false">+IF($D68&gt;U$1-1,($G68+U$1)^2,0)*$C68*IF($F68="Optimization",2,1)</f>
        <v>0</v>
      </c>
      <c r="V68" s="1" t="n">
        <f aca="false">+IF($D68&gt;V$1-1,($G68+V$1)^2,0)*$C68*IF($F68="Optimization",2,1)</f>
        <v>0</v>
      </c>
      <c r="W68" s="1" t="n">
        <f aca="false">+IF($D68&gt;W$1-1,($G68+W$1)^2,0)*$C68*IF($F68="Optimization",2,1)</f>
        <v>0</v>
      </c>
      <c r="X68" s="1" t="n">
        <f aca="false">+IF($D68&gt;X$1-1,($G68+X$1)^2,0)*$C68*IF($F68="Optimization",2,1)</f>
        <v>0</v>
      </c>
      <c r="Y68" s="1" t="n">
        <f aca="false">+IF($D68&gt;Y$1-1,($G68+Y$1)^2,0)*$C68*IF($F68="Optimization",2,1)</f>
        <v>0</v>
      </c>
      <c r="Z68" s="1" t="n">
        <f aca="false">+IF($D68&gt;Z$1-1,($G68+Z$1)^2,0)*$C68*IF($F68="Optimization",2,1)</f>
        <v>0</v>
      </c>
      <c r="AC68" s="1" t="str">
        <f aca="false">CONCATENATE(A68,"- ",F68,"-",E68)</f>
        <v>Operational- Optimization-</v>
      </c>
    </row>
    <row r="69" customFormat="false" ht="15" hidden="false" customHeight="true" outlineLevel="0" collapsed="false">
      <c r="A69" s="5" t="s">
        <v>59</v>
      </c>
      <c r="B69" s="5" t="s">
        <v>60</v>
      </c>
      <c r="C69" s="6" t="n">
        <v>5</v>
      </c>
      <c r="D69" s="7" t="n">
        <v>6</v>
      </c>
      <c r="E69" s="8"/>
      <c r="F69" s="8" t="s">
        <v>14</v>
      </c>
      <c r="G69" s="9"/>
      <c r="H69" s="9" t="n">
        <f aca="false">MAX(0,D69+G69)</f>
        <v>6</v>
      </c>
      <c r="I69" s="9" t="n">
        <f aca="false">IF(OR(C69="",H69=""),"",ROUNDUP(C69*H69^2/2,0))</f>
        <v>90</v>
      </c>
      <c r="J69" s="8" t="n">
        <f aca="false">TRUE()</f>
        <v>1</v>
      </c>
      <c r="K69" s="9" t="n">
        <f aca="false">IF(J69,I69,0)</f>
        <v>90</v>
      </c>
      <c r="L69" s="9" t="n">
        <f aca="false">IF(OR(C69="",D69=""),"",C69*D69*(D69+1)*(2*D69+1)/6)</f>
        <v>455</v>
      </c>
      <c r="N69" s="3" t="n">
        <f aca="false">+SUM(O69:Z69)</f>
        <v>910</v>
      </c>
      <c r="O69" s="1" t="n">
        <f aca="false">+IF($D69&gt;O$1-1,($G69+O$1)^2,0)*$C69*IF($F69="Optimization",2,1)</f>
        <v>10</v>
      </c>
      <c r="P69" s="1" t="n">
        <f aca="false">+IF($D69&gt;P$1-1,($G69+P$1)^2,0)*$C69*IF($F69="Optimization",2,1)</f>
        <v>40</v>
      </c>
      <c r="Q69" s="1" t="n">
        <f aca="false">+IF($D69&gt;Q$1-1,($G69+Q$1)^2,0)*$C69*IF($F69="Optimization",2,1)</f>
        <v>90</v>
      </c>
      <c r="R69" s="1" t="n">
        <f aca="false">+IF($D69&gt;R$1-1,($G69+R$1)^2,0)*$C69*IF($F69="Optimization",2,1)</f>
        <v>160</v>
      </c>
      <c r="S69" s="1" t="n">
        <f aca="false">+IF($D69&gt;S$1-1,($G69+S$1)^2,0)*$C69*IF($F69="Optimization",2,1)</f>
        <v>250</v>
      </c>
      <c r="T69" s="1" t="n">
        <f aca="false">+IF($D69&gt;T$1-1,($G69+T$1)^2,0)*$C69*IF($F69="Optimization",2,1)</f>
        <v>360</v>
      </c>
      <c r="U69" s="1" t="n">
        <f aca="false">+IF($D69&gt;U$1-1,($G69+U$1)^2,0)*$C69*IF($F69="Optimization",2,1)</f>
        <v>0</v>
      </c>
      <c r="V69" s="1" t="n">
        <f aca="false">+IF($D69&gt;V$1-1,($G69+V$1)^2,0)*$C69*IF($F69="Optimization",2,1)</f>
        <v>0</v>
      </c>
      <c r="W69" s="1" t="n">
        <f aca="false">+IF($D69&gt;W$1-1,($G69+W$1)^2,0)*$C69*IF($F69="Optimization",2,1)</f>
        <v>0</v>
      </c>
      <c r="X69" s="1" t="n">
        <f aca="false">+IF($D69&gt;X$1-1,($G69+X$1)^2,0)*$C69*IF($F69="Optimization",2,1)</f>
        <v>0</v>
      </c>
      <c r="Y69" s="1" t="n">
        <f aca="false">+IF($D69&gt;Y$1-1,($G69+Y$1)^2,0)*$C69*IF($F69="Optimization",2,1)</f>
        <v>0</v>
      </c>
      <c r="Z69" s="1" t="n">
        <f aca="false">+IF($D69&gt;Z$1-1,($G69+Z$1)^2,0)*$C69*IF($F69="Optimization",2,1)</f>
        <v>0</v>
      </c>
      <c r="AC69" s="1" t="str">
        <f aca="false">CONCATENATE(A69,"- ",F69,"-",E69)</f>
        <v>Special- Optimization-</v>
      </c>
    </row>
    <row r="70" customFormat="false" ht="15" hidden="false" customHeight="true" outlineLevel="0" collapsed="false">
      <c r="A70" s="5" t="s">
        <v>59</v>
      </c>
      <c r="B70" s="5" t="s">
        <v>61</v>
      </c>
      <c r="C70" s="6" t="n">
        <v>1</v>
      </c>
      <c r="D70" s="7" t="n">
        <v>6</v>
      </c>
      <c r="E70" s="8"/>
      <c r="F70" s="8" t="s">
        <v>14</v>
      </c>
      <c r="G70" s="9"/>
      <c r="H70" s="9" t="n">
        <f aca="false">MAX(0,D70+G70)</f>
        <v>6</v>
      </c>
      <c r="I70" s="9" t="n">
        <f aca="false">IF(OR(C70="",H70=""),"",ROUNDUP(C70*H70^2/2,0))</f>
        <v>18</v>
      </c>
      <c r="J70" s="8" t="n">
        <f aca="false">TRUE()</f>
        <v>1</v>
      </c>
      <c r="K70" s="9" t="n">
        <f aca="false">IF(J70,I70,0)</f>
        <v>18</v>
      </c>
      <c r="L70" s="9" t="n">
        <f aca="false">IF(OR(C70="",D70=""),"",C70*D70*(D70+1)*(2*D70+1)/6)</f>
        <v>91</v>
      </c>
      <c r="N70" s="3" t="n">
        <f aca="false">+SUM(O70:Z70)</f>
        <v>182</v>
      </c>
      <c r="O70" s="1" t="n">
        <f aca="false">+IF($D70&gt;O$1-1,($G70+O$1)^2,0)*$C70*IF($F70="Optimization",2,1)</f>
        <v>2</v>
      </c>
      <c r="P70" s="1" t="n">
        <f aca="false">+IF($D70&gt;P$1-1,($G70+P$1)^2,0)*$C70*IF($F70="Optimization",2,1)</f>
        <v>8</v>
      </c>
      <c r="Q70" s="1" t="n">
        <f aca="false">+IF($D70&gt;Q$1-1,($G70+Q$1)^2,0)*$C70*IF($F70="Optimization",2,1)</f>
        <v>18</v>
      </c>
      <c r="R70" s="1" t="n">
        <f aca="false">+IF($D70&gt;R$1-1,($G70+R$1)^2,0)*$C70*IF($F70="Optimization",2,1)</f>
        <v>32</v>
      </c>
      <c r="S70" s="1" t="n">
        <f aca="false">+IF($D70&gt;S$1-1,($G70+S$1)^2,0)*$C70*IF($F70="Optimization",2,1)</f>
        <v>50</v>
      </c>
      <c r="T70" s="1" t="n">
        <f aca="false">+IF($D70&gt;T$1-1,($G70+T$1)^2,0)*$C70*IF($F70="Optimization",2,1)</f>
        <v>72</v>
      </c>
      <c r="U70" s="1" t="n">
        <f aca="false">+IF($D70&gt;U$1-1,($G70+U$1)^2,0)*$C70*IF($F70="Optimization",2,1)</f>
        <v>0</v>
      </c>
      <c r="V70" s="1" t="n">
        <f aca="false">+IF($D70&gt;V$1-1,($G70+V$1)^2,0)*$C70*IF($F70="Optimization",2,1)</f>
        <v>0</v>
      </c>
      <c r="W70" s="1" t="n">
        <f aca="false">+IF($D70&gt;W$1-1,($G70+W$1)^2,0)*$C70*IF($F70="Optimization",2,1)</f>
        <v>0</v>
      </c>
      <c r="X70" s="1" t="n">
        <f aca="false">+IF($D70&gt;X$1-1,($G70+X$1)^2,0)*$C70*IF($F70="Optimization",2,1)</f>
        <v>0</v>
      </c>
      <c r="Y70" s="1" t="n">
        <f aca="false">+IF($D70&gt;Y$1-1,($G70+Y$1)^2,0)*$C70*IF($F70="Optimization",2,1)</f>
        <v>0</v>
      </c>
      <c r="Z70" s="1" t="n">
        <f aca="false">+IF($D70&gt;Z$1-1,($G70+Z$1)^2,0)*$C70*IF($F70="Optimization",2,1)</f>
        <v>0</v>
      </c>
      <c r="AC70" s="1" t="str">
        <f aca="false">CONCATENATE(A70,"- ",F70,"-",E70)</f>
        <v>Special- Optimization-</v>
      </c>
    </row>
    <row r="71" customFormat="false" ht="15" hidden="false" customHeight="true" outlineLevel="0" collapsed="false">
      <c r="A71" s="5" t="s">
        <v>59</v>
      </c>
      <c r="B71" s="5" t="s">
        <v>62</v>
      </c>
      <c r="C71" s="6" t="n">
        <v>2</v>
      </c>
      <c r="D71" s="7" t="n">
        <v>6</v>
      </c>
      <c r="E71" s="8"/>
      <c r="F71" s="8" t="s">
        <v>14</v>
      </c>
      <c r="G71" s="9"/>
      <c r="H71" s="9" t="n">
        <f aca="false">MAX(0,D71+G71)</f>
        <v>6</v>
      </c>
      <c r="I71" s="9" t="n">
        <f aca="false">IF(OR(C71="",H71=""),"",ROUNDUP(C71*H71^2/2,0))</f>
        <v>36</v>
      </c>
      <c r="J71" s="8" t="n">
        <f aca="false">TRUE()</f>
        <v>1</v>
      </c>
      <c r="K71" s="9" t="n">
        <f aca="false">IF(J71,I71,0)</f>
        <v>36</v>
      </c>
      <c r="L71" s="9" t="n">
        <f aca="false">IF(OR(C71="",D71=""),"",C71*D71*(D71+1)*(2*D71+1)/6)</f>
        <v>182</v>
      </c>
      <c r="N71" s="3" t="n">
        <f aca="false">+SUM(O71:Z71)</f>
        <v>364</v>
      </c>
      <c r="O71" s="1" t="n">
        <f aca="false">+IF($D71&gt;O$1-1,($G71+O$1)^2,0)*$C71*IF($F71="Optimization",2,1)</f>
        <v>4</v>
      </c>
      <c r="P71" s="1" t="n">
        <f aca="false">+IF($D71&gt;P$1-1,($G71+P$1)^2,0)*$C71*IF($F71="Optimization",2,1)</f>
        <v>16</v>
      </c>
      <c r="Q71" s="1" t="n">
        <f aca="false">+IF($D71&gt;Q$1-1,($G71+Q$1)^2,0)*$C71*IF($F71="Optimization",2,1)</f>
        <v>36</v>
      </c>
      <c r="R71" s="1" t="n">
        <f aca="false">+IF($D71&gt;R$1-1,($G71+R$1)^2,0)*$C71*IF($F71="Optimization",2,1)</f>
        <v>64</v>
      </c>
      <c r="S71" s="1" t="n">
        <f aca="false">+IF($D71&gt;S$1-1,($G71+S$1)^2,0)*$C71*IF($F71="Optimization",2,1)</f>
        <v>100</v>
      </c>
      <c r="T71" s="1" t="n">
        <f aca="false">+IF($D71&gt;T$1-1,($G71+T$1)^2,0)*$C71*IF($F71="Optimization",2,1)</f>
        <v>144</v>
      </c>
      <c r="U71" s="1" t="n">
        <f aca="false">+IF($D71&gt;U$1-1,($G71+U$1)^2,0)*$C71*IF($F71="Optimization",2,1)</f>
        <v>0</v>
      </c>
      <c r="V71" s="1" t="n">
        <f aca="false">+IF($D71&gt;V$1-1,($G71+V$1)^2,0)*$C71*IF($F71="Optimization",2,1)</f>
        <v>0</v>
      </c>
      <c r="W71" s="1" t="n">
        <f aca="false">+IF($D71&gt;W$1-1,($G71+W$1)^2,0)*$C71*IF($F71="Optimization",2,1)</f>
        <v>0</v>
      </c>
      <c r="X71" s="1" t="n">
        <f aca="false">+IF($D71&gt;X$1-1,($G71+X$1)^2,0)*$C71*IF($F71="Optimization",2,1)</f>
        <v>0</v>
      </c>
      <c r="Y71" s="1" t="n">
        <f aca="false">+IF($D71&gt;Y$1-1,($G71+Y$1)^2,0)*$C71*IF($F71="Optimization",2,1)</f>
        <v>0</v>
      </c>
      <c r="Z71" s="1" t="n">
        <f aca="false">+IF($D71&gt;Z$1-1,($G71+Z$1)^2,0)*$C71*IF($F71="Optimization",2,1)</f>
        <v>0</v>
      </c>
      <c r="AC71" s="1" t="str">
        <f aca="false">CONCATENATE(A71,"- ",F71,"-",E71)</f>
        <v>Special- Optimization-</v>
      </c>
    </row>
    <row r="72" customFormat="false" ht="15" hidden="false" customHeight="true" outlineLevel="0" collapsed="false">
      <c r="A72" s="5" t="s">
        <v>59</v>
      </c>
      <c r="B72" s="5" t="s">
        <v>63</v>
      </c>
      <c r="C72" s="6" t="n">
        <v>6</v>
      </c>
      <c r="D72" s="7" t="n">
        <v>6</v>
      </c>
      <c r="E72" s="8" t="s">
        <v>18</v>
      </c>
      <c r="F72" s="8" t="s">
        <v>14</v>
      </c>
      <c r="G72" s="9" t="n">
        <v>3</v>
      </c>
      <c r="H72" s="9" t="n">
        <f aca="false">MAX(0,D72+G72)</f>
        <v>9</v>
      </c>
      <c r="I72" s="9" t="n">
        <f aca="false">IF(OR(C72="",H72=""),"",ROUNDUP(C72*H72^2/2,0))</f>
        <v>243</v>
      </c>
      <c r="J72" s="8" t="n">
        <f aca="false">TRUE()</f>
        <v>1</v>
      </c>
      <c r="K72" s="9" t="n">
        <f aca="false">IF(J72,I72,0)</f>
        <v>243</v>
      </c>
      <c r="L72" s="9" t="n">
        <f aca="false">IF(OR(C72="",D72=""),"",C72*D72*(D72+1)*(2*D72+1)/6)</f>
        <v>546</v>
      </c>
      <c r="N72" s="3" t="n">
        <f aca="false">+SUM(O72:Z72)</f>
        <v>3252</v>
      </c>
      <c r="O72" s="1" t="n">
        <f aca="false">+IF($D72&gt;O$1-1,($G72+O$1)^2,0)*$C72*IF($F72="Optimization",2,1)</f>
        <v>192</v>
      </c>
      <c r="P72" s="1" t="n">
        <f aca="false">+IF($D72&gt;P$1-1,($G72+P$1)^2,0)*$C72*IF($F72="Optimization",2,1)</f>
        <v>300</v>
      </c>
      <c r="Q72" s="1" t="n">
        <f aca="false">+IF($D72&gt;Q$1-1,($G72+Q$1)^2,0)*$C72*IF($F72="Optimization",2,1)</f>
        <v>432</v>
      </c>
      <c r="R72" s="1" t="n">
        <f aca="false">+IF($D72&gt;R$1-1,($G72+R$1)^2,0)*$C72*IF($F72="Optimization",2,1)</f>
        <v>588</v>
      </c>
      <c r="S72" s="1" t="n">
        <f aca="false">+IF($D72&gt;S$1-1,($G72+S$1)^2,0)*$C72*IF($F72="Optimization",2,1)</f>
        <v>768</v>
      </c>
      <c r="T72" s="1" t="n">
        <f aca="false">+IF($D72&gt;T$1-1,($G72+T$1)^2,0)*$C72*IF($F72="Optimization",2,1)</f>
        <v>972</v>
      </c>
      <c r="U72" s="1" t="n">
        <f aca="false">+IF($D72&gt;U$1-1,($G72+U$1)^2,0)*$C72*IF($F72="Optimization",2,1)</f>
        <v>0</v>
      </c>
      <c r="V72" s="1" t="n">
        <f aca="false">+IF($D72&gt;V$1-1,($G72+V$1)^2,0)*$C72*IF($F72="Optimization",2,1)</f>
        <v>0</v>
      </c>
      <c r="W72" s="1" t="n">
        <f aca="false">+IF($D72&gt;W$1-1,($G72+W$1)^2,0)*$C72*IF($F72="Optimization",2,1)</f>
        <v>0</v>
      </c>
      <c r="X72" s="1" t="n">
        <f aca="false">+IF($D72&gt;X$1-1,($G72+X$1)^2,0)*$C72*IF($F72="Optimization",2,1)</f>
        <v>0</v>
      </c>
      <c r="Y72" s="1" t="n">
        <f aca="false">+IF($D72&gt;Y$1-1,($G72+Y$1)^2,0)*$C72*IF($F72="Optimization",2,1)</f>
        <v>0</v>
      </c>
      <c r="Z72" s="1" t="n">
        <f aca="false">+IF($D72&gt;Z$1-1,($G72+Z$1)^2,0)*$C72*IF($F72="Optimization",2,1)</f>
        <v>0</v>
      </c>
      <c r="AC72" s="1" t="str">
        <f aca="false">CONCATENATE(A72,"- ",F72,"-",E72)</f>
        <v>Special- Optimization-DINAB</v>
      </c>
    </row>
    <row r="73" customFormat="false" ht="15" hidden="false" customHeight="true" outlineLevel="0" collapsed="false">
      <c r="A73" s="5" t="s">
        <v>59</v>
      </c>
      <c r="B73" s="5" t="s">
        <v>63</v>
      </c>
      <c r="C73" s="6" t="n">
        <v>6</v>
      </c>
      <c r="D73" s="7" t="n">
        <v>6</v>
      </c>
      <c r="E73" s="8"/>
      <c r="F73" s="8" t="s">
        <v>14</v>
      </c>
      <c r="G73" s="9"/>
      <c r="H73" s="9" t="n">
        <f aca="false">MAX(0,D73+G73)</f>
        <v>6</v>
      </c>
      <c r="I73" s="9" t="n">
        <f aca="false">IF(OR(C73="",H73=""),"",ROUNDUP(C73*H73^2/2,0))</f>
        <v>108</v>
      </c>
      <c r="J73" s="8" t="n">
        <f aca="false">TRUE()</f>
        <v>1</v>
      </c>
      <c r="K73" s="9" t="n">
        <f aca="false">IF(J73,I73,0)</f>
        <v>108</v>
      </c>
      <c r="L73" s="9" t="n">
        <f aca="false">IF(OR(C73="",D73=""),"",C73*D73*(D73+1)*(2*D73+1)/6)</f>
        <v>546</v>
      </c>
      <c r="N73" s="3" t="n">
        <f aca="false">+SUM(O73:Z73)</f>
        <v>1092</v>
      </c>
      <c r="O73" s="1" t="n">
        <f aca="false">+IF($D73&gt;O$1-1,($G73+O$1)^2,0)*$C73*IF($F73="Optimization",2,1)</f>
        <v>12</v>
      </c>
      <c r="P73" s="1" t="n">
        <f aca="false">+IF($D73&gt;P$1-1,($G73+P$1)^2,0)*$C73*IF($F73="Optimization",2,1)</f>
        <v>48</v>
      </c>
      <c r="Q73" s="1" t="n">
        <f aca="false">+IF($D73&gt;Q$1-1,($G73+Q$1)^2,0)*$C73*IF($F73="Optimization",2,1)</f>
        <v>108</v>
      </c>
      <c r="R73" s="1" t="n">
        <f aca="false">+IF($D73&gt;R$1-1,($G73+R$1)^2,0)*$C73*IF($F73="Optimization",2,1)</f>
        <v>192</v>
      </c>
      <c r="S73" s="1" t="n">
        <f aca="false">+IF($D73&gt;S$1-1,($G73+S$1)^2,0)*$C73*IF($F73="Optimization",2,1)</f>
        <v>300</v>
      </c>
      <c r="T73" s="1" t="n">
        <f aca="false">+IF($D73&gt;T$1-1,($G73+T$1)^2,0)*$C73*IF($F73="Optimization",2,1)</f>
        <v>432</v>
      </c>
      <c r="U73" s="1" t="n">
        <f aca="false">+IF($D73&gt;U$1-1,($G73+U$1)^2,0)*$C73*IF($F73="Optimization",2,1)</f>
        <v>0</v>
      </c>
      <c r="V73" s="1" t="n">
        <f aca="false">+IF($D73&gt;V$1-1,($G73+V$1)^2,0)*$C73*IF($F73="Optimization",2,1)</f>
        <v>0</v>
      </c>
      <c r="W73" s="1" t="n">
        <f aca="false">+IF($D73&gt;W$1-1,($G73+W$1)^2,0)*$C73*IF($F73="Optimization",2,1)</f>
        <v>0</v>
      </c>
      <c r="X73" s="1" t="n">
        <f aca="false">+IF($D73&gt;X$1-1,($G73+X$1)^2,0)*$C73*IF($F73="Optimization",2,1)</f>
        <v>0</v>
      </c>
      <c r="Y73" s="1" t="n">
        <f aca="false">+IF($D73&gt;Y$1-1,($G73+Y$1)^2,0)*$C73*IF($F73="Optimization",2,1)</f>
        <v>0</v>
      </c>
      <c r="Z73" s="1" t="n">
        <f aca="false">+IF($D73&gt;Z$1-1,($G73+Z$1)^2,0)*$C73*IF($F73="Optimization",2,1)</f>
        <v>0</v>
      </c>
      <c r="AC73" s="1" t="str">
        <f aca="false">CONCATENATE(A73,"- ",F73,"-",E73)</f>
        <v>Special- Optimization-</v>
      </c>
    </row>
    <row r="74" customFormat="false" ht="15" hidden="false" customHeight="true" outlineLevel="0" collapsed="false">
      <c r="A74" s="5" t="s">
        <v>59</v>
      </c>
      <c r="B74" s="5" t="s">
        <v>64</v>
      </c>
      <c r="C74" s="6" t="n">
        <v>2</v>
      </c>
      <c r="D74" s="7" t="n">
        <v>6</v>
      </c>
      <c r="E74" s="8"/>
      <c r="F74" s="8" t="s">
        <v>14</v>
      </c>
      <c r="G74" s="9"/>
      <c r="H74" s="9" t="n">
        <f aca="false">MAX(0,D74+G74)</f>
        <v>6</v>
      </c>
      <c r="I74" s="9" t="n">
        <f aca="false">IF(OR(C74="",H74=""),"",ROUNDUP(C74*H74^2/2,0))</f>
        <v>36</v>
      </c>
      <c r="J74" s="8" t="n">
        <f aca="false">TRUE()</f>
        <v>1</v>
      </c>
      <c r="K74" s="9" t="n">
        <f aca="false">IF(J74,I74,0)</f>
        <v>36</v>
      </c>
      <c r="L74" s="9" t="n">
        <f aca="false">IF(OR(C74="",D74=""),"",C74*D74*(D74+1)*(2*D74+1)/6)</f>
        <v>182</v>
      </c>
      <c r="N74" s="3" t="n">
        <f aca="false">+SUM(O74:Z74)</f>
        <v>364</v>
      </c>
      <c r="O74" s="1" t="n">
        <f aca="false">+IF($D74&gt;O$1-1,($G74+O$1)^2,0)*$C74*IF($F74="Optimization",2,1)</f>
        <v>4</v>
      </c>
      <c r="P74" s="1" t="n">
        <f aca="false">+IF($D74&gt;P$1-1,($G74+P$1)^2,0)*$C74*IF($F74="Optimization",2,1)</f>
        <v>16</v>
      </c>
      <c r="Q74" s="1" t="n">
        <f aca="false">+IF($D74&gt;Q$1-1,($G74+Q$1)^2,0)*$C74*IF($F74="Optimization",2,1)</f>
        <v>36</v>
      </c>
      <c r="R74" s="1" t="n">
        <f aca="false">+IF($D74&gt;R$1-1,($G74+R$1)^2,0)*$C74*IF($F74="Optimization",2,1)</f>
        <v>64</v>
      </c>
      <c r="S74" s="1" t="n">
        <f aca="false">+IF($D74&gt;S$1-1,($G74+S$1)^2,0)*$C74*IF($F74="Optimization",2,1)</f>
        <v>100</v>
      </c>
      <c r="T74" s="1" t="n">
        <f aca="false">+IF($D74&gt;T$1-1,($G74+T$1)^2,0)*$C74*IF($F74="Optimization",2,1)</f>
        <v>144</v>
      </c>
      <c r="U74" s="1" t="n">
        <f aca="false">+IF($D74&gt;U$1-1,($G74+U$1)^2,0)*$C74*IF($F74="Optimization",2,1)</f>
        <v>0</v>
      </c>
      <c r="V74" s="1" t="n">
        <f aca="false">+IF($D74&gt;V$1-1,($G74+V$1)^2,0)*$C74*IF($F74="Optimization",2,1)</f>
        <v>0</v>
      </c>
      <c r="W74" s="1" t="n">
        <f aca="false">+IF($D74&gt;W$1-1,($G74+W$1)^2,0)*$C74*IF($F74="Optimization",2,1)</f>
        <v>0</v>
      </c>
      <c r="X74" s="1" t="n">
        <f aca="false">+IF($D74&gt;X$1-1,($G74+X$1)^2,0)*$C74*IF($F74="Optimization",2,1)</f>
        <v>0</v>
      </c>
      <c r="Y74" s="1" t="n">
        <f aca="false">+IF($D74&gt;Y$1-1,($G74+Y$1)^2,0)*$C74*IF($F74="Optimization",2,1)</f>
        <v>0</v>
      </c>
      <c r="Z74" s="1" t="n">
        <f aca="false">+IF($D74&gt;Z$1-1,($G74+Z$1)^2,0)*$C74*IF($F74="Optimization",2,1)</f>
        <v>0</v>
      </c>
      <c r="AC74" s="1" t="str">
        <f aca="false">CONCATENATE(A74,"- ",F74,"-",E74)</f>
        <v>Special- Optimization-</v>
      </c>
    </row>
    <row r="75" customFormat="false" ht="15" hidden="false" customHeight="true" outlineLevel="0" collapsed="false">
      <c r="A75" s="5" t="s">
        <v>59</v>
      </c>
      <c r="B75" s="5" t="s">
        <v>65</v>
      </c>
      <c r="C75" s="6" t="n">
        <v>1</v>
      </c>
      <c r="D75" s="7" t="n">
        <v>6</v>
      </c>
      <c r="E75" s="8"/>
      <c r="F75" s="8" t="s">
        <v>14</v>
      </c>
      <c r="G75" s="9"/>
      <c r="H75" s="9" t="n">
        <f aca="false">MAX(0,D75+G75)</f>
        <v>6</v>
      </c>
      <c r="I75" s="9" t="n">
        <f aca="false">IF(OR(C75="",H75=""),"",ROUNDUP(C75*H75^2/2,0))</f>
        <v>18</v>
      </c>
      <c r="J75" s="8" t="n">
        <f aca="false">TRUE()</f>
        <v>1</v>
      </c>
      <c r="K75" s="9" t="n">
        <f aca="false">IF(J75,I75,0)</f>
        <v>18</v>
      </c>
      <c r="L75" s="9" t="n">
        <f aca="false">IF(OR(C75="",D75=""),"",C75*D75*(D75+1)*(2*D75+1)/6)</f>
        <v>91</v>
      </c>
      <c r="N75" s="3" t="n">
        <f aca="false">+SUM(O75:Z75)</f>
        <v>182</v>
      </c>
      <c r="O75" s="1" t="n">
        <f aca="false">+IF($D75&gt;O$1-1,($G75+O$1)^2,0)*$C75*IF($F75="Optimization",2,1)</f>
        <v>2</v>
      </c>
      <c r="P75" s="1" t="n">
        <f aca="false">+IF($D75&gt;P$1-1,($G75+P$1)^2,0)*$C75*IF($F75="Optimization",2,1)</f>
        <v>8</v>
      </c>
      <c r="Q75" s="1" t="n">
        <f aca="false">+IF($D75&gt;Q$1-1,($G75+Q$1)^2,0)*$C75*IF($F75="Optimization",2,1)</f>
        <v>18</v>
      </c>
      <c r="R75" s="1" t="n">
        <f aca="false">+IF($D75&gt;R$1-1,($G75+R$1)^2,0)*$C75*IF($F75="Optimization",2,1)</f>
        <v>32</v>
      </c>
      <c r="S75" s="1" t="n">
        <f aca="false">+IF($D75&gt;S$1-1,($G75+S$1)^2,0)*$C75*IF($F75="Optimization",2,1)</f>
        <v>50</v>
      </c>
      <c r="T75" s="1" t="n">
        <f aca="false">+IF($D75&gt;T$1-1,($G75+T$1)^2,0)*$C75*IF($F75="Optimization",2,1)</f>
        <v>72</v>
      </c>
      <c r="U75" s="1" t="n">
        <f aca="false">+IF($D75&gt;U$1-1,($G75+U$1)^2,0)*$C75*IF($F75="Optimization",2,1)</f>
        <v>0</v>
      </c>
      <c r="V75" s="1" t="n">
        <f aca="false">+IF($D75&gt;V$1-1,($G75+V$1)^2,0)*$C75*IF($F75="Optimization",2,1)</f>
        <v>0</v>
      </c>
      <c r="W75" s="1" t="n">
        <f aca="false">+IF($D75&gt;W$1-1,($G75+W$1)^2,0)*$C75*IF($F75="Optimization",2,1)</f>
        <v>0</v>
      </c>
      <c r="X75" s="1" t="n">
        <f aca="false">+IF($D75&gt;X$1-1,($G75+X$1)^2,0)*$C75*IF($F75="Optimization",2,1)</f>
        <v>0</v>
      </c>
      <c r="Y75" s="1" t="n">
        <f aca="false">+IF($D75&gt;Y$1-1,($G75+Y$1)^2,0)*$C75*IF($F75="Optimization",2,1)</f>
        <v>0</v>
      </c>
      <c r="Z75" s="1" t="n">
        <f aca="false">+IF($D75&gt;Z$1-1,($G75+Z$1)^2,0)*$C75*IF($F75="Optimization",2,1)</f>
        <v>0</v>
      </c>
      <c r="AC75" s="1" t="str">
        <f aca="false">CONCATENATE(A75,"- ",F75,"-",E75)</f>
        <v>Special- Optimization-</v>
      </c>
    </row>
    <row r="76" customFormat="false" ht="15" hidden="false" customHeight="true" outlineLevel="0" collapsed="false">
      <c r="A76" s="5" t="s">
        <v>59</v>
      </c>
      <c r="B76" s="5" t="s">
        <v>66</v>
      </c>
      <c r="C76" s="6" t="n">
        <v>1</v>
      </c>
      <c r="D76" s="7" t="n">
        <v>6</v>
      </c>
      <c r="E76" s="8"/>
      <c r="F76" s="8" t="s">
        <v>14</v>
      </c>
      <c r="G76" s="9"/>
      <c r="H76" s="9" t="n">
        <f aca="false">MAX(0,D76+G76)</f>
        <v>6</v>
      </c>
      <c r="I76" s="9" t="n">
        <f aca="false">IF(OR(C76="",H76=""),"",ROUNDUP(C76*H76^2/2,0))</f>
        <v>18</v>
      </c>
      <c r="J76" s="8" t="n">
        <f aca="false">TRUE()</f>
        <v>1</v>
      </c>
      <c r="K76" s="9" t="n">
        <f aca="false">IF(J76,I76,0)</f>
        <v>18</v>
      </c>
      <c r="L76" s="9" t="n">
        <f aca="false">IF(OR(C76="",D76=""),"",C76*D76*(D76+1)*(2*D76+1)/6)</f>
        <v>91</v>
      </c>
      <c r="N76" s="3" t="n">
        <f aca="false">+SUM(O76:Z76)</f>
        <v>182</v>
      </c>
      <c r="O76" s="1" t="n">
        <f aca="false">+IF($D76&gt;O$1-1,($G76+O$1)^2,0)*$C76*IF($F76="Optimization",2,1)</f>
        <v>2</v>
      </c>
      <c r="P76" s="1" t="n">
        <f aca="false">+IF($D76&gt;P$1-1,($G76+P$1)^2,0)*$C76*IF($F76="Optimization",2,1)</f>
        <v>8</v>
      </c>
      <c r="Q76" s="1" t="n">
        <f aca="false">+IF($D76&gt;Q$1-1,($G76+Q$1)^2,0)*$C76*IF($F76="Optimization",2,1)</f>
        <v>18</v>
      </c>
      <c r="R76" s="1" t="n">
        <f aca="false">+IF($D76&gt;R$1-1,($G76+R$1)^2,0)*$C76*IF($F76="Optimization",2,1)</f>
        <v>32</v>
      </c>
      <c r="S76" s="1" t="n">
        <f aca="false">+IF($D76&gt;S$1-1,($G76+S$1)^2,0)*$C76*IF($F76="Optimization",2,1)</f>
        <v>50</v>
      </c>
      <c r="T76" s="1" t="n">
        <f aca="false">+IF($D76&gt;T$1-1,($G76+T$1)^2,0)*$C76*IF($F76="Optimization",2,1)</f>
        <v>72</v>
      </c>
      <c r="U76" s="1" t="n">
        <f aca="false">+IF($D76&gt;U$1-1,($G76+U$1)^2,0)*$C76*IF($F76="Optimization",2,1)</f>
        <v>0</v>
      </c>
      <c r="V76" s="1" t="n">
        <f aca="false">+IF($D76&gt;V$1-1,($G76+V$1)^2,0)*$C76*IF($F76="Optimization",2,1)</f>
        <v>0</v>
      </c>
      <c r="W76" s="1" t="n">
        <f aca="false">+IF($D76&gt;W$1-1,($G76+W$1)^2,0)*$C76*IF($F76="Optimization",2,1)</f>
        <v>0</v>
      </c>
      <c r="X76" s="1" t="n">
        <f aca="false">+IF($D76&gt;X$1-1,($G76+X$1)^2,0)*$C76*IF($F76="Optimization",2,1)</f>
        <v>0</v>
      </c>
      <c r="Y76" s="1" t="n">
        <f aca="false">+IF($D76&gt;Y$1-1,($G76+Y$1)^2,0)*$C76*IF($F76="Optimization",2,1)</f>
        <v>0</v>
      </c>
      <c r="Z76" s="1" t="n">
        <f aca="false">+IF($D76&gt;Z$1-1,($G76+Z$1)^2,0)*$C76*IF($F76="Optimization",2,1)</f>
        <v>0</v>
      </c>
      <c r="AC76" s="1" t="str">
        <f aca="false">CONCATENATE(A76,"- ",F76,"-",E76)</f>
        <v>Special- Optimization-</v>
      </c>
    </row>
    <row r="77" customFormat="false" ht="15" hidden="false" customHeight="true" outlineLevel="0" collapsed="false">
      <c r="A77" s="5" t="s">
        <v>59</v>
      </c>
      <c r="B77" s="5" t="s">
        <v>67</v>
      </c>
      <c r="C77" s="6" t="n">
        <v>15</v>
      </c>
      <c r="D77" s="7" t="n">
        <v>6</v>
      </c>
      <c r="E77" s="8" t="s">
        <v>68</v>
      </c>
      <c r="F77" s="8" t="s">
        <v>14</v>
      </c>
      <c r="G77" s="9" t="n">
        <v>6</v>
      </c>
      <c r="H77" s="9" t="n">
        <f aca="false">MAX(0,D77+G77)</f>
        <v>12</v>
      </c>
      <c r="I77" s="9" t="n">
        <f aca="false">IF(OR(C77="",H77=""),"",ROUNDUP(C77*H77^2/2,0))</f>
        <v>1080</v>
      </c>
      <c r="J77" s="8" t="n">
        <f aca="false">TRUE()</f>
        <v>1</v>
      </c>
      <c r="K77" s="9" t="n">
        <f aca="false">IF(J77,I77,0)</f>
        <v>1080</v>
      </c>
      <c r="L77" s="9" t="n">
        <f aca="false">IF(OR(C77="",D77=""),"",C77*D77*(D77+1)*(2*D77+1)/6)</f>
        <v>1365</v>
      </c>
      <c r="N77" s="3" t="n">
        <f aca="false">+SUM(O77:Z77)</f>
        <v>16770</v>
      </c>
      <c r="O77" s="1" t="n">
        <f aca="false">+IF($D77&gt;O$1-1,($G77+O$1)^2,0)*$C77*IF($F77="Optimization",2,1)</f>
        <v>1470</v>
      </c>
      <c r="P77" s="1" t="n">
        <f aca="false">+IF($D77&gt;P$1-1,($G77+P$1)^2,0)*$C77*IF($F77="Optimization",2,1)</f>
        <v>1920</v>
      </c>
      <c r="Q77" s="1" t="n">
        <f aca="false">+IF($D77&gt;Q$1-1,($G77+Q$1)^2,0)*$C77*IF($F77="Optimization",2,1)</f>
        <v>2430</v>
      </c>
      <c r="R77" s="1" t="n">
        <f aca="false">+IF($D77&gt;R$1-1,($G77+R$1)^2,0)*$C77*IF($F77="Optimization",2,1)</f>
        <v>3000</v>
      </c>
      <c r="S77" s="1" t="n">
        <f aca="false">+IF($D77&gt;S$1-1,($G77+S$1)^2,0)*$C77*IF($F77="Optimization",2,1)</f>
        <v>3630</v>
      </c>
      <c r="T77" s="1" t="n">
        <f aca="false">+IF($D77&gt;T$1-1,($G77+T$1)^2,0)*$C77*IF($F77="Optimization",2,1)</f>
        <v>4320</v>
      </c>
      <c r="U77" s="1" t="n">
        <f aca="false">+IF($D77&gt;U$1-1,($G77+U$1)^2,0)*$C77*IF($F77="Optimization",2,1)</f>
        <v>0</v>
      </c>
      <c r="V77" s="1" t="n">
        <f aca="false">+IF($D77&gt;V$1-1,($G77+V$1)^2,0)*$C77*IF($F77="Optimization",2,1)</f>
        <v>0</v>
      </c>
      <c r="W77" s="1" t="n">
        <f aca="false">+IF($D77&gt;W$1-1,($G77+W$1)^2,0)*$C77*IF($F77="Optimization",2,1)</f>
        <v>0</v>
      </c>
      <c r="X77" s="1" t="n">
        <f aca="false">+IF($D77&gt;X$1-1,($G77+X$1)^2,0)*$C77*IF($F77="Optimization",2,1)</f>
        <v>0</v>
      </c>
      <c r="Y77" s="1" t="n">
        <f aca="false">+IF($D77&gt;Y$1-1,($G77+Y$1)^2,0)*$C77*IF($F77="Optimization",2,1)</f>
        <v>0</v>
      </c>
      <c r="Z77" s="1" t="n">
        <f aca="false">+IF($D77&gt;Z$1-1,($G77+Z$1)^2,0)*$C77*IF($F77="Optimization",2,1)</f>
        <v>0</v>
      </c>
      <c r="AC77" s="1" t="str">
        <f aca="false">CONCATENATE(A77,"- ",F77,"-",E77)</f>
        <v>Special- Optimization-Self-Coder</v>
      </c>
    </row>
    <row r="78" customFormat="false" ht="15" hidden="false" customHeight="true" outlineLevel="0" collapsed="false">
      <c r="A78" s="5" t="s">
        <v>59</v>
      </c>
      <c r="B78" s="5" t="s">
        <v>67</v>
      </c>
      <c r="C78" s="6" t="n">
        <v>15</v>
      </c>
      <c r="D78" s="7" t="n">
        <v>6</v>
      </c>
      <c r="E78" s="8"/>
      <c r="F78" s="8" t="s">
        <v>14</v>
      </c>
      <c r="G78" s="9"/>
      <c r="H78" s="9" t="n">
        <f aca="false">MAX(0,D78+G78)</f>
        <v>6</v>
      </c>
      <c r="I78" s="9" t="n">
        <f aca="false">IF(OR(C78="",H78=""),"",ROUNDUP(C78*H78^2/2,0))</f>
        <v>270</v>
      </c>
      <c r="J78" s="8" t="n">
        <f aca="false">TRUE()</f>
        <v>1</v>
      </c>
      <c r="K78" s="9" t="n">
        <f aca="false">IF(J78,I78,0)</f>
        <v>270</v>
      </c>
      <c r="L78" s="9" t="n">
        <f aca="false">IF(OR(C78="",D78=""),"",C78*D78*(D78+1)*(2*D78+1)/6)</f>
        <v>1365</v>
      </c>
      <c r="N78" s="3" t="n">
        <f aca="false">+SUM(O78:Z78)</f>
        <v>2730</v>
      </c>
      <c r="O78" s="1" t="n">
        <f aca="false">+IF($D78&gt;O$1-1,($G78+O$1)^2,0)*$C78*IF($F78="Optimization",2,1)</f>
        <v>30</v>
      </c>
      <c r="P78" s="1" t="n">
        <f aca="false">+IF($D78&gt;P$1-1,($G78+P$1)^2,0)*$C78*IF($F78="Optimization",2,1)</f>
        <v>120</v>
      </c>
      <c r="Q78" s="1" t="n">
        <f aca="false">+IF($D78&gt;Q$1-1,($G78+Q$1)^2,0)*$C78*IF($F78="Optimization",2,1)</f>
        <v>270</v>
      </c>
      <c r="R78" s="1" t="n">
        <f aca="false">+IF($D78&gt;R$1-1,($G78+R$1)^2,0)*$C78*IF($F78="Optimization",2,1)</f>
        <v>480</v>
      </c>
      <c r="S78" s="1" t="n">
        <f aca="false">+IF($D78&gt;S$1-1,($G78+S$1)^2,0)*$C78*IF($F78="Optimization",2,1)</f>
        <v>750</v>
      </c>
      <c r="T78" s="1" t="n">
        <f aca="false">+IF($D78&gt;T$1-1,($G78+T$1)^2,0)*$C78*IF($F78="Optimization",2,1)</f>
        <v>1080</v>
      </c>
      <c r="U78" s="1" t="n">
        <f aca="false">+IF($D78&gt;U$1-1,($G78+U$1)^2,0)*$C78*IF($F78="Optimization",2,1)</f>
        <v>0</v>
      </c>
      <c r="V78" s="1" t="n">
        <f aca="false">+IF($D78&gt;V$1-1,($G78+V$1)^2,0)*$C78*IF($F78="Optimization",2,1)</f>
        <v>0</v>
      </c>
      <c r="W78" s="1" t="n">
        <f aca="false">+IF($D78&gt;W$1-1,($G78+W$1)^2,0)*$C78*IF($F78="Optimization",2,1)</f>
        <v>0</v>
      </c>
      <c r="X78" s="1" t="n">
        <f aca="false">+IF($D78&gt;X$1-1,($G78+X$1)^2,0)*$C78*IF($F78="Optimization",2,1)</f>
        <v>0</v>
      </c>
      <c r="Y78" s="1" t="n">
        <f aca="false">+IF($D78&gt;Y$1-1,($G78+Y$1)^2,0)*$C78*IF($F78="Optimization",2,1)</f>
        <v>0</v>
      </c>
      <c r="Z78" s="1" t="n">
        <f aca="false">+IF($D78&gt;Z$1-1,($G78+Z$1)^2,0)*$C78*IF($F78="Optimization",2,1)</f>
        <v>0</v>
      </c>
      <c r="AC78" s="1" t="str">
        <f aca="false">CONCATENATE(A78,"- ",F78,"-",E78)</f>
        <v>Special- Optimization-</v>
      </c>
    </row>
    <row r="79" customFormat="false" ht="15" hidden="false" customHeight="true" outlineLevel="0" collapsed="false">
      <c r="A79" s="5" t="s">
        <v>59</v>
      </c>
      <c r="B79" s="5" t="s">
        <v>69</v>
      </c>
      <c r="C79" s="6" t="n">
        <v>1</v>
      </c>
      <c r="D79" s="7" t="n">
        <v>6</v>
      </c>
      <c r="E79" s="8"/>
      <c r="F79" s="8" t="s">
        <v>14</v>
      </c>
      <c r="G79" s="9"/>
      <c r="H79" s="9" t="n">
        <f aca="false">MAX(0,D79+G79)</f>
        <v>6</v>
      </c>
      <c r="I79" s="9" t="n">
        <f aca="false">IF(OR(C79="",H79=""),"",ROUNDUP(C79*H79^2/2,0))</f>
        <v>18</v>
      </c>
      <c r="J79" s="8" t="n">
        <f aca="false">TRUE()</f>
        <v>1</v>
      </c>
      <c r="K79" s="9" t="n">
        <f aca="false">IF(J79,I79,0)</f>
        <v>18</v>
      </c>
      <c r="L79" s="9" t="n">
        <f aca="false">IF(OR(C79="",D79=""),"",C79*D79*(D79+1)*(2*D79+1)/6)</f>
        <v>91</v>
      </c>
      <c r="N79" s="3" t="n">
        <f aca="false">+SUM(O79:Z79)</f>
        <v>182</v>
      </c>
      <c r="O79" s="1" t="n">
        <f aca="false">+IF($D79&gt;O$1-1,($G79+O$1)^2,0)*$C79*IF($F79="Optimization",2,1)</f>
        <v>2</v>
      </c>
      <c r="P79" s="1" t="n">
        <f aca="false">+IF($D79&gt;P$1-1,($G79+P$1)^2,0)*$C79*IF($F79="Optimization",2,1)</f>
        <v>8</v>
      </c>
      <c r="Q79" s="1" t="n">
        <f aca="false">+IF($D79&gt;Q$1-1,($G79+Q$1)^2,0)*$C79*IF($F79="Optimization",2,1)</f>
        <v>18</v>
      </c>
      <c r="R79" s="1" t="n">
        <f aca="false">+IF($D79&gt;R$1-1,($G79+R$1)^2,0)*$C79*IF($F79="Optimization",2,1)</f>
        <v>32</v>
      </c>
      <c r="S79" s="1" t="n">
        <f aca="false">+IF($D79&gt;S$1-1,($G79+S$1)^2,0)*$C79*IF($F79="Optimization",2,1)</f>
        <v>50</v>
      </c>
      <c r="T79" s="1" t="n">
        <f aca="false">+IF($D79&gt;T$1-1,($G79+T$1)^2,0)*$C79*IF($F79="Optimization",2,1)</f>
        <v>72</v>
      </c>
      <c r="U79" s="1" t="n">
        <f aca="false">+IF($D79&gt;U$1-1,($G79+U$1)^2,0)*$C79*IF($F79="Optimization",2,1)</f>
        <v>0</v>
      </c>
      <c r="V79" s="1" t="n">
        <f aca="false">+IF($D79&gt;V$1-1,($G79+V$1)^2,0)*$C79*IF($F79="Optimization",2,1)</f>
        <v>0</v>
      </c>
      <c r="W79" s="1" t="n">
        <f aca="false">+IF($D79&gt;W$1-1,($G79+W$1)^2,0)*$C79*IF($F79="Optimization",2,1)</f>
        <v>0</v>
      </c>
      <c r="X79" s="1" t="n">
        <f aca="false">+IF($D79&gt;X$1-1,($G79+X$1)^2,0)*$C79*IF($F79="Optimization",2,1)</f>
        <v>0</v>
      </c>
      <c r="Y79" s="1" t="n">
        <f aca="false">+IF($D79&gt;Y$1-1,($G79+Y$1)^2,0)*$C79*IF($F79="Optimization",2,1)</f>
        <v>0</v>
      </c>
      <c r="Z79" s="1" t="n">
        <f aca="false">+IF($D79&gt;Z$1-1,($G79+Z$1)^2,0)*$C79*IF($F79="Optimization",2,1)</f>
        <v>0</v>
      </c>
      <c r="AC79" s="1" t="str">
        <f aca="false">CONCATENATE(A79,"- ",F79,"-",E79)</f>
        <v>Special- Optimization-</v>
      </c>
    </row>
    <row r="80" customFormat="false" ht="15" hidden="false" customHeight="true" outlineLevel="0" collapsed="false">
      <c r="A80" s="5" t="s">
        <v>59</v>
      </c>
      <c r="B80" s="5" t="s">
        <v>70</v>
      </c>
      <c r="C80" s="6" t="n">
        <v>3</v>
      </c>
      <c r="D80" s="7" t="n">
        <v>6</v>
      </c>
      <c r="E80" s="8"/>
      <c r="F80" s="8" t="s">
        <v>14</v>
      </c>
      <c r="G80" s="9"/>
      <c r="H80" s="9" t="n">
        <f aca="false">MAX(0,D80+G80)</f>
        <v>6</v>
      </c>
      <c r="I80" s="9" t="n">
        <f aca="false">IF(OR(C80="",H80=""),"",ROUNDUP(C80*H80^2/2,0))</f>
        <v>54</v>
      </c>
      <c r="J80" s="8" t="n">
        <f aca="false">TRUE()</f>
        <v>1</v>
      </c>
      <c r="K80" s="9" t="n">
        <f aca="false">IF(J80,I80,0)</f>
        <v>54</v>
      </c>
      <c r="L80" s="9" t="n">
        <f aca="false">IF(OR(C80="",D80=""),"",C80*D80*(D80+1)*(2*D80+1)/6)</f>
        <v>273</v>
      </c>
      <c r="N80" s="3" t="n">
        <f aca="false">+SUM(O80:Z80)</f>
        <v>546</v>
      </c>
      <c r="O80" s="1" t="n">
        <f aca="false">+IF($D80&gt;O$1-1,($G80+O$1)^2,0)*$C80*IF($F80="Optimization",2,1)</f>
        <v>6</v>
      </c>
      <c r="P80" s="1" t="n">
        <f aca="false">+IF($D80&gt;P$1-1,($G80+P$1)^2,0)*$C80*IF($F80="Optimization",2,1)</f>
        <v>24</v>
      </c>
      <c r="Q80" s="1" t="n">
        <f aca="false">+IF($D80&gt;Q$1-1,($G80+Q$1)^2,0)*$C80*IF($F80="Optimization",2,1)</f>
        <v>54</v>
      </c>
      <c r="R80" s="1" t="n">
        <f aca="false">+IF($D80&gt;R$1-1,($G80+R$1)^2,0)*$C80*IF($F80="Optimization",2,1)</f>
        <v>96</v>
      </c>
      <c r="S80" s="1" t="n">
        <f aca="false">+IF($D80&gt;S$1-1,($G80+S$1)^2,0)*$C80*IF($F80="Optimization",2,1)</f>
        <v>150</v>
      </c>
      <c r="T80" s="1" t="n">
        <f aca="false">+IF($D80&gt;T$1-1,($G80+T$1)^2,0)*$C80*IF($F80="Optimization",2,1)</f>
        <v>216</v>
      </c>
      <c r="U80" s="1" t="n">
        <f aca="false">+IF($D80&gt;U$1-1,($G80+U$1)^2,0)*$C80*IF($F80="Optimization",2,1)</f>
        <v>0</v>
      </c>
      <c r="V80" s="1" t="n">
        <f aca="false">+IF($D80&gt;V$1-1,($G80+V$1)^2,0)*$C80*IF($F80="Optimization",2,1)</f>
        <v>0</v>
      </c>
      <c r="W80" s="1" t="n">
        <f aca="false">+IF($D80&gt;W$1-1,($G80+W$1)^2,0)*$C80*IF($F80="Optimization",2,1)</f>
        <v>0</v>
      </c>
      <c r="X80" s="1" t="n">
        <f aca="false">+IF($D80&gt;X$1-1,($G80+X$1)^2,0)*$C80*IF($F80="Optimization",2,1)</f>
        <v>0</v>
      </c>
      <c r="Y80" s="1" t="n">
        <f aca="false">+IF($D80&gt;Y$1-1,($G80+Y$1)^2,0)*$C80*IF($F80="Optimization",2,1)</f>
        <v>0</v>
      </c>
      <c r="Z80" s="1" t="n">
        <f aca="false">+IF($D80&gt;Z$1-1,($G80+Z$1)^2,0)*$C80*IF($F80="Optimization",2,1)</f>
        <v>0</v>
      </c>
      <c r="AC80" s="1" t="str">
        <f aca="false">CONCATENATE(A80,"- ",F80,"-",E80)</f>
        <v>Special- Optimization-</v>
      </c>
    </row>
    <row r="81" customFormat="false" ht="15" hidden="false" customHeight="true" outlineLevel="0" collapsed="false">
      <c r="A81" s="5" t="s">
        <v>59</v>
      </c>
      <c r="B81" s="5" t="s">
        <v>71</v>
      </c>
      <c r="C81" s="6" t="n">
        <v>2</v>
      </c>
      <c r="D81" s="7" t="n">
        <v>6</v>
      </c>
      <c r="E81" s="8"/>
      <c r="F81" s="8" t="s">
        <v>14</v>
      </c>
      <c r="G81" s="9"/>
      <c r="H81" s="9" t="n">
        <f aca="false">MAX(0,D81+G81)</f>
        <v>6</v>
      </c>
      <c r="I81" s="9" t="n">
        <f aca="false">IF(OR(C81="",H81=""),"",ROUNDUP(C81*H81^2/2,0))</f>
        <v>36</v>
      </c>
      <c r="J81" s="8" t="n">
        <f aca="false">TRUE()</f>
        <v>1</v>
      </c>
      <c r="K81" s="9" t="n">
        <f aca="false">IF(J81,I81,0)</f>
        <v>36</v>
      </c>
      <c r="L81" s="9" t="n">
        <f aca="false">IF(OR(C81="",D81=""),"",C81*D81*(D81+1)*(2*D81+1)/6)</f>
        <v>182</v>
      </c>
      <c r="N81" s="3" t="n">
        <f aca="false">+SUM(O81:Z81)</f>
        <v>364</v>
      </c>
      <c r="O81" s="1" t="n">
        <f aca="false">+IF($D81&gt;O$1-1,($G81+O$1)^2,0)*$C81*IF($F81="Optimization",2,1)</f>
        <v>4</v>
      </c>
      <c r="P81" s="1" t="n">
        <f aca="false">+IF($D81&gt;P$1-1,($G81+P$1)^2,0)*$C81*IF($F81="Optimization",2,1)</f>
        <v>16</v>
      </c>
      <c r="Q81" s="1" t="n">
        <f aca="false">+IF($D81&gt;Q$1-1,($G81+Q$1)^2,0)*$C81*IF($F81="Optimization",2,1)</f>
        <v>36</v>
      </c>
      <c r="R81" s="1" t="n">
        <f aca="false">+IF($D81&gt;R$1-1,($G81+R$1)^2,0)*$C81*IF($F81="Optimization",2,1)</f>
        <v>64</v>
      </c>
      <c r="S81" s="1" t="n">
        <f aca="false">+IF($D81&gt;S$1-1,($G81+S$1)^2,0)*$C81*IF($F81="Optimization",2,1)</f>
        <v>100</v>
      </c>
      <c r="T81" s="1" t="n">
        <f aca="false">+IF($D81&gt;T$1-1,($G81+T$1)^2,0)*$C81*IF($F81="Optimization",2,1)</f>
        <v>144</v>
      </c>
      <c r="U81" s="1" t="n">
        <f aca="false">+IF($D81&gt;U$1-1,($G81+U$1)^2,0)*$C81*IF($F81="Optimization",2,1)</f>
        <v>0</v>
      </c>
      <c r="V81" s="1" t="n">
        <f aca="false">+IF($D81&gt;V$1-1,($G81+V$1)^2,0)*$C81*IF($F81="Optimization",2,1)</f>
        <v>0</v>
      </c>
      <c r="W81" s="1" t="n">
        <f aca="false">+IF($D81&gt;W$1-1,($G81+W$1)^2,0)*$C81*IF($F81="Optimization",2,1)</f>
        <v>0</v>
      </c>
      <c r="X81" s="1" t="n">
        <f aca="false">+IF($D81&gt;X$1-1,($G81+X$1)^2,0)*$C81*IF($F81="Optimization",2,1)</f>
        <v>0</v>
      </c>
      <c r="Y81" s="1" t="n">
        <f aca="false">+IF($D81&gt;Y$1-1,($G81+Y$1)^2,0)*$C81*IF($F81="Optimization",2,1)</f>
        <v>0</v>
      </c>
      <c r="Z81" s="1" t="n">
        <f aca="false">+IF($D81&gt;Z$1-1,($G81+Z$1)^2,0)*$C81*IF($F81="Optimization",2,1)</f>
        <v>0</v>
      </c>
      <c r="AC81" s="1" t="str">
        <f aca="false">CONCATENATE(A81,"- ",F81,"-",E81)</f>
        <v>Special- Optimization-</v>
      </c>
    </row>
    <row r="82" customFormat="false" ht="15" hidden="false" customHeight="true" outlineLevel="0" collapsed="false">
      <c r="A82" s="5" t="s">
        <v>59</v>
      </c>
      <c r="B82" s="5" t="s">
        <v>72</v>
      </c>
      <c r="C82" s="6" t="n">
        <v>3</v>
      </c>
      <c r="D82" s="7" t="n">
        <v>12</v>
      </c>
      <c r="E82" s="8"/>
      <c r="F82" s="8" t="s">
        <v>14</v>
      </c>
      <c r="G82" s="9"/>
      <c r="H82" s="9" t="n">
        <f aca="false">MAX(0,D82+G82)</f>
        <v>12</v>
      </c>
      <c r="I82" s="9" t="n">
        <f aca="false">IF(OR(C82="",H82=""),"",ROUNDUP(C82*H82^2/2,0))</f>
        <v>216</v>
      </c>
      <c r="J82" s="8" t="n">
        <f aca="false">TRUE()</f>
        <v>1</v>
      </c>
      <c r="K82" s="9" t="n">
        <f aca="false">IF(J82,I82,0)</f>
        <v>216</v>
      </c>
      <c r="L82" s="9" t="n">
        <f aca="false">IF(OR(C82="",D82=""),"",C82*D82*(D82+1)*(2*D82+1)/6)</f>
        <v>1950</v>
      </c>
      <c r="N82" s="3" t="n">
        <f aca="false">+SUM(O82:Z82)</f>
        <v>3900</v>
      </c>
      <c r="O82" s="1" t="n">
        <f aca="false">+IF($D82&gt;O$1-1,($G82+O$1)^2,0)*$C82*IF($F82="Optimization",2,1)</f>
        <v>6</v>
      </c>
      <c r="P82" s="1" t="n">
        <f aca="false">+IF($D82&gt;P$1-1,($G82+P$1)^2,0)*$C82*IF($F82="Optimization",2,1)</f>
        <v>24</v>
      </c>
      <c r="Q82" s="1" t="n">
        <f aca="false">+IF($D82&gt;Q$1-1,($G82+Q$1)^2,0)*$C82*IF($F82="Optimization",2,1)</f>
        <v>54</v>
      </c>
      <c r="R82" s="1" t="n">
        <f aca="false">+IF($D82&gt;R$1-1,($G82+R$1)^2,0)*$C82*IF($F82="Optimization",2,1)</f>
        <v>96</v>
      </c>
      <c r="S82" s="1" t="n">
        <f aca="false">+IF($D82&gt;S$1-1,($G82+S$1)^2,0)*$C82*IF($F82="Optimization",2,1)</f>
        <v>150</v>
      </c>
      <c r="T82" s="1" t="n">
        <f aca="false">+IF($D82&gt;T$1-1,($G82+T$1)^2,0)*$C82*IF($F82="Optimization",2,1)</f>
        <v>216</v>
      </c>
      <c r="U82" s="1" t="n">
        <f aca="false">+IF($D82&gt;U$1-1,($G82+U$1)^2,0)*$C82*IF($F82="Optimization",2,1)</f>
        <v>294</v>
      </c>
      <c r="V82" s="1" t="n">
        <f aca="false">+IF($D82&gt;V$1-1,($G82+V$1)^2,0)*$C82*IF($F82="Optimization",2,1)</f>
        <v>384</v>
      </c>
      <c r="W82" s="1" t="n">
        <f aca="false">+IF($D82&gt;W$1-1,($G82+W$1)^2,0)*$C82*IF($F82="Optimization",2,1)</f>
        <v>486</v>
      </c>
      <c r="X82" s="1" t="n">
        <f aca="false">+IF($D82&gt;X$1-1,($G82+X$1)^2,0)*$C82*IF($F82="Optimization",2,1)</f>
        <v>600</v>
      </c>
      <c r="Y82" s="1" t="n">
        <f aca="false">+IF($D82&gt;Y$1-1,($G82+Y$1)^2,0)*$C82*IF($F82="Optimization",2,1)</f>
        <v>726</v>
      </c>
      <c r="Z82" s="1" t="n">
        <f aca="false">+IF($D82&gt;Z$1-1,($G82+Z$1)^2,0)*$C82*IF($F82="Optimization",2,1)</f>
        <v>864</v>
      </c>
      <c r="AC82" s="1" t="str">
        <f aca="false">CONCATENATE(A82,"- ",F82,"-",E82)</f>
        <v>Special- Optimization-</v>
      </c>
    </row>
    <row r="83" customFormat="false" ht="15" hidden="false" customHeight="true" outlineLevel="0" collapsed="false">
      <c r="A83" s="5" t="s">
        <v>59</v>
      </c>
      <c r="B83" s="5" t="s">
        <v>73</v>
      </c>
      <c r="C83" s="6" t="n">
        <v>8</v>
      </c>
      <c r="D83" s="7" t="n">
        <v>6</v>
      </c>
      <c r="E83" s="8"/>
      <c r="F83" s="8" t="s">
        <v>14</v>
      </c>
      <c r="G83" s="9"/>
      <c r="H83" s="9" t="n">
        <f aca="false">MAX(0,D83+G83)</f>
        <v>6</v>
      </c>
      <c r="I83" s="9" t="n">
        <f aca="false">IF(OR(C83="",H83=""),"",ROUNDUP(C83*H83^2/2,0))</f>
        <v>144</v>
      </c>
      <c r="J83" s="8" t="n">
        <f aca="false">TRUE()</f>
        <v>1</v>
      </c>
      <c r="K83" s="9" t="n">
        <f aca="false">IF(J83,I83,0)</f>
        <v>144</v>
      </c>
      <c r="L83" s="9" t="n">
        <f aca="false">IF(OR(C83="",D83=""),"",C83*D83*(D83+1)*(2*D83+1)/6)</f>
        <v>728</v>
      </c>
      <c r="N83" s="3" t="n">
        <f aca="false">+SUM(O83:Z83)</f>
        <v>1456</v>
      </c>
      <c r="O83" s="1" t="n">
        <f aca="false">+IF($D83&gt;O$1-1,($G83+O$1)^2,0)*$C83*IF($F83="Optimization",2,1)</f>
        <v>16</v>
      </c>
      <c r="P83" s="1" t="n">
        <f aca="false">+IF($D83&gt;P$1-1,($G83+P$1)^2,0)*$C83*IF($F83="Optimization",2,1)</f>
        <v>64</v>
      </c>
      <c r="Q83" s="1" t="n">
        <f aca="false">+IF($D83&gt;Q$1-1,($G83+Q$1)^2,0)*$C83*IF($F83="Optimization",2,1)</f>
        <v>144</v>
      </c>
      <c r="R83" s="1" t="n">
        <f aca="false">+IF($D83&gt;R$1-1,($G83+R$1)^2,0)*$C83*IF($F83="Optimization",2,1)</f>
        <v>256</v>
      </c>
      <c r="S83" s="1" t="n">
        <f aca="false">+IF($D83&gt;S$1-1,($G83+S$1)^2,0)*$C83*IF($F83="Optimization",2,1)</f>
        <v>400</v>
      </c>
      <c r="T83" s="1" t="n">
        <f aca="false">+IF($D83&gt;T$1-1,($G83+T$1)^2,0)*$C83*IF($F83="Optimization",2,1)</f>
        <v>576</v>
      </c>
      <c r="U83" s="1" t="n">
        <f aca="false">+IF($D83&gt;U$1-1,($G83+U$1)^2,0)*$C83*IF($F83="Optimization",2,1)</f>
        <v>0</v>
      </c>
      <c r="V83" s="1" t="n">
        <f aca="false">+IF($D83&gt;V$1-1,($G83+V$1)^2,0)*$C83*IF($F83="Optimization",2,1)</f>
        <v>0</v>
      </c>
      <c r="W83" s="1" t="n">
        <f aca="false">+IF($D83&gt;W$1-1,($G83+W$1)^2,0)*$C83*IF($F83="Optimization",2,1)</f>
        <v>0</v>
      </c>
      <c r="X83" s="1" t="n">
        <f aca="false">+IF($D83&gt;X$1-1,($G83+X$1)^2,0)*$C83*IF($F83="Optimization",2,1)</f>
        <v>0</v>
      </c>
      <c r="Y83" s="1" t="n">
        <f aca="false">+IF($D83&gt;Y$1-1,($G83+Y$1)^2,0)*$C83*IF($F83="Optimization",2,1)</f>
        <v>0</v>
      </c>
      <c r="Z83" s="1" t="n">
        <f aca="false">+IF($D83&gt;Z$1-1,($G83+Z$1)^2,0)*$C83*IF($F83="Optimization",2,1)</f>
        <v>0</v>
      </c>
      <c r="AC83" s="1" t="str">
        <f aca="false">CONCATENATE(A83,"- ",F83,"-",E83)</f>
        <v>Special- Optimization-</v>
      </c>
    </row>
    <row r="84" customFormat="false" ht="15" hidden="false" customHeight="true" outlineLevel="0" collapsed="false">
      <c r="A84" s="5"/>
      <c r="B84" s="5"/>
      <c r="C84" s="6"/>
      <c r="D84" s="7"/>
      <c r="E84" s="8"/>
      <c r="F84" s="8"/>
      <c r="G84" s="9"/>
      <c r="H84" s="9"/>
      <c r="I84" s="9"/>
      <c r="J84" s="8"/>
      <c r="K84" s="9"/>
      <c r="L84" s="9" t="str">
        <f aca="false">IF(OR(C84="",D84=""),"",C84*D84*(D84+1)*(2*D84+1)/6)</f>
        <v/>
      </c>
      <c r="N84" s="3" t="n">
        <f aca="false">+SUM(O84:Z84)</f>
        <v>0</v>
      </c>
      <c r="O84" s="1" t="n">
        <f aca="false">+IF($D84&gt;O$1-1,($G84+O$1)^2,0)*$C84*IF($F84="Optimization",2,1)</f>
        <v>0</v>
      </c>
      <c r="P84" s="1" t="n">
        <f aca="false">+IF($D84&gt;P$1-1,($G84+P$1)^2,0)*$C84*IF($F84="Optimization",2,1)</f>
        <v>0</v>
      </c>
      <c r="Q84" s="1" t="n">
        <f aca="false">+IF($D84&gt;Q$1-1,($G84+Q$1)^2,0)*$C84*IF($F84="Optimization",2,1)</f>
        <v>0</v>
      </c>
      <c r="R84" s="1" t="n">
        <f aca="false">+IF($D84&gt;R$1-1,($G84+R$1)^2,0)*$C84*IF($F84="Optimization",2,1)</f>
        <v>0</v>
      </c>
      <c r="S84" s="1" t="n">
        <f aca="false">+IF($D84&gt;S$1-1,($G84+S$1)^2,0)*$C84*IF($F84="Optimization",2,1)</f>
        <v>0</v>
      </c>
      <c r="T84" s="1" t="n">
        <f aca="false">+IF($D84&gt;T$1-1,($G84+T$1)^2,0)*$C84*IF($F84="Optimization",2,1)</f>
        <v>0</v>
      </c>
      <c r="U84" s="1" t="n">
        <f aca="false">+IF($D84&gt;U$1-1,($G84+U$1)^2,0)*$C84*IF($F84="Optimization",2,1)</f>
        <v>0</v>
      </c>
      <c r="V84" s="1" t="n">
        <f aca="false">+IF($D84&gt;V$1-1,($G84+V$1)^2,0)*$C84*IF($F84="Optimization",2,1)</f>
        <v>0</v>
      </c>
      <c r="W84" s="1" t="n">
        <f aca="false">+IF($D84&gt;W$1-1,($G84+W$1)^2,0)*$C84*IF($F84="Optimization",2,1)</f>
        <v>0</v>
      </c>
      <c r="X84" s="1" t="n">
        <f aca="false">+IF($D84&gt;X$1-1,($G84+X$1)^2,0)*$C84*IF($F84="Optimization",2,1)</f>
        <v>0</v>
      </c>
      <c r="Y84" s="1" t="n">
        <f aca="false">+IF($D84&gt;Y$1-1,($G84+Y$1)^2,0)*$C84*IF($F84="Optimization",2,1)</f>
        <v>0</v>
      </c>
      <c r="Z84" s="1" t="n">
        <f aca="false">+IF($D84&gt;Z$1-1,($G84+Z$1)^2,0)*$C84*IF($F84="Optimization",2,1)</f>
        <v>0</v>
      </c>
    </row>
    <row r="85" customFormat="false" ht="15" hidden="false" customHeight="true" outlineLevel="0" collapsed="false">
      <c r="A85" s="5"/>
      <c r="B85" s="5"/>
      <c r="C85" s="6"/>
      <c r="D85" s="7"/>
      <c r="E85" s="8"/>
      <c r="F85" s="8"/>
      <c r="G85" s="9"/>
      <c r="H85" s="9"/>
      <c r="I85" s="9"/>
      <c r="J85" s="8"/>
      <c r="K85" s="9"/>
      <c r="L85" s="9"/>
      <c r="N85" s="3" t="n">
        <f aca="false">+SUM(O85:Z85)</f>
        <v>0</v>
      </c>
      <c r="O85" s="1" t="n">
        <f aca="false">+IF($D85&gt;O$1-1,($G85+O$1)^2,0)*$C85*IF($F85="Optimization",2,1)</f>
        <v>0</v>
      </c>
      <c r="P85" s="1" t="n">
        <f aca="false">+IF($D85&gt;P$1-1,($G85+P$1)^2,0)*$C85*IF($F85="Optimization",2,1)</f>
        <v>0</v>
      </c>
      <c r="Q85" s="1" t="n">
        <f aca="false">+IF($D85&gt;Q$1-1,($G85+Q$1)^2,0)*$C85*IF($F85="Optimization",2,1)</f>
        <v>0</v>
      </c>
      <c r="R85" s="1" t="n">
        <f aca="false">+IF($D85&gt;R$1-1,($G85+R$1)^2,0)*$C85*IF($F85="Optimization",2,1)</f>
        <v>0</v>
      </c>
      <c r="S85" s="1" t="n">
        <f aca="false">+IF($D85&gt;S$1-1,($G85+S$1)^2,0)*$C85*IF($F85="Optimization",2,1)</f>
        <v>0</v>
      </c>
      <c r="T85" s="1" t="n">
        <f aca="false">+IF($D85&gt;T$1-1,($G85+T$1)^2,0)*$C85*IF($F85="Optimization",2,1)</f>
        <v>0</v>
      </c>
      <c r="U85" s="1" t="n">
        <f aca="false">+IF($D85&gt;U$1-1,($G85+U$1)^2,0)*$C85*IF($F85="Optimization",2,1)</f>
        <v>0</v>
      </c>
      <c r="V85" s="1" t="n">
        <f aca="false">+IF($D85&gt;V$1-1,($G85+V$1)^2,0)*$C85*IF($F85="Optimization",2,1)</f>
        <v>0</v>
      </c>
      <c r="W85" s="1" t="n">
        <f aca="false">+IF($D85&gt;W$1-1,($G85+W$1)^2,0)*$C85*IF($F85="Optimization",2,1)</f>
        <v>0</v>
      </c>
      <c r="X85" s="1" t="n">
        <f aca="false">+IF($D85&gt;X$1-1,($G85+X$1)^2,0)*$C85*IF($F85="Optimization",2,1)</f>
        <v>0</v>
      </c>
      <c r="Y85" s="1" t="n">
        <f aca="false">+IF($D85&gt;Y$1-1,($G85+Y$1)^2,0)*$C85*IF($F85="Optimization",2,1)</f>
        <v>0</v>
      </c>
      <c r="Z85" s="1" t="n">
        <f aca="false">+IF($D85&gt;Z$1-1,($G85+Z$1)^2,0)*$C85*IF($F85="Optimization",2,1)</f>
        <v>0</v>
      </c>
    </row>
    <row r="86" customFormat="false" ht="15" hidden="false" customHeight="true" outlineLevel="0" collapsed="false">
      <c r="A86" s="5"/>
      <c r="B86" s="5"/>
      <c r="C86" s="6"/>
      <c r="D86" s="7"/>
      <c r="E86" s="8"/>
      <c r="F86" s="8"/>
      <c r="G86" s="9"/>
      <c r="H86" s="9"/>
      <c r="I86" s="9"/>
      <c r="J86" s="8"/>
      <c r="K86" s="9"/>
      <c r="L86" s="9"/>
      <c r="N86" s="3" t="n">
        <f aca="false">+SUM(O86:Z86)</f>
        <v>0</v>
      </c>
      <c r="O86" s="1" t="n">
        <f aca="false">+IF($D86&gt;O$1-1,($G86+O$1)^2,0)*$C86*IF($F86="Optimization",2,1)</f>
        <v>0</v>
      </c>
      <c r="P86" s="1" t="n">
        <f aca="false">+IF($D86&gt;P$1-1,($G86+P$1)^2,0)*$C86*IF($F86="Optimization",2,1)</f>
        <v>0</v>
      </c>
      <c r="Q86" s="1" t="n">
        <f aca="false">+IF($D86&gt;Q$1-1,($G86+Q$1)^2,0)*$C86*IF($F86="Optimization",2,1)</f>
        <v>0</v>
      </c>
      <c r="R86" s="1" t="n">
        <f aca="false">+IF($D86&gt;R$1-1,($G86+R$1)^2,0)*$C86*IF($F86="Optimization",2,1)</f>
        <v>0</v>
      </c>
      <c r="S86" s="1" t="n">
        <f aca="false">+IF($D86&gt;S$1-1,($G86+S$1)^2,0)*$C86*IF($F86="Optimization",2,1)</f>
        <v>0</v>
      </c>
      <c r="T86" s="1" t="n">
        <f aca="false">+IF($D86&gt;T$1-1,($G86+T$1)^2,0)*$C86*IF($F86="Optimization",2,1)</f>
        <v>0</v>
      </c>
      <c r="U86" s="1" t="n">
        <f aca="false">+IF($D86&gt;U$1-1,($G86+U$1)^2,0)*$C86*IF($F86="Optimization",2,1)</f>
        <v>0</v>
      </c>
      <c r="V86" s="1" t="n">
        <f aca="false">+IF($D86&gt;V$1-1,($G86+V$1)^2,0)*$C86*IF($F86="Optimization",2,1)</f>
        <v>0</v>
      </c>
      <c r="W86" s="1" t="n">
        <f aca="false">+IF($D86&gt;W$1-1,($G86+W$1)^2,0)*$C86*IF($F86="Optimization",2,1)</f>
        <v>0</v>
      </c>
      <c r="X86" s="1" t="n">
        <f aca="false">+IF($D86&gt;X$1-1,($G86+X$1)^2,0)*$C86*IF($F86="Optimization",2,1)</f>
        <v>0</v>
      </c>
      <c r="Y86" s="1" t="n">
        <f aca="false">+IF($D86&gt;Y$1-1,($G86+Y$1)^2,0)*$C86*IF($F86="Optimization",2,1)</f>
        <v>0</v>
      </c>
      <c r="Z86" s="1" t="n">
        <f aca="false">+IF($D86&gt;Z$1-1,($G86+Z$1)^2,0)*$C86*IF($F86="Optimization",2,1)</f>
        <v>0</v>
      </c>
    </row>
    <row r="87" customFormat="false" ht="15" hidden="false" customHeight="true" outlineLevel="0" collapsed="false">
      <c r="A87" s="5"/>
      <c r="B87" s="5"/>
      <c r="C87" s="6"/>
      <c r="D87" s="7"/>
      <c r="E87" s="8"/>
      <c r="F87" s="8"/>
      <c r="G87" s="9"/>
      <c r="H87" s="9"/>
      <c r="I87" s="9"/>
      <c r="J87" s="8"/>
      <c r="K87" s="9"/>
      <c r="L87" s="9"/>
      <c r="N87" s="3" t="n">
        <f aca="false">+SUM(O87:Z87)</f>
        <v>0</v>
      </c>
      <c r="O87" s="1" t="n">
        <f aca="false">+IF($D87&gt;O$1-1,($G87+O$1)^2,0)*$C87*IF($F87="Optimization",2,1)</f>
        <v>0</v>
      </c>
      <c r="P87" s="1" t="n">
        <f aca="false">+IF($D87&gt;P$1-1,($G87+P$1)^2,0)*$C87*IF($F87="Optimization",2,1)</f>
        <v>0</v>
      </c>
      <c r="Q87" s="1" t="n">
        <f aca="false">+IF($D87&gt;Q$1-1,($G87+Q$1)^2,0)*$C87*IF($F87="Optimization",2,1)</f>
        <v>0</v>
      </c>
      <c r="R87" s="1" t="n">
        <f aca="false">+IF($D87&gt;R$1-1,($G87+R$1)^2,0)*$C87*IF($F87="Optimization",2,1)</f>
        <v>0</v>
      </c>
      <c r="S87" s="1" t="n">
        <f aca="false">+IF($D87&gt;S$1-1,($G87+S$1)^2,0)*$C87*IF($F87="Optimization",2,1)</f>
        <v>0</v>
      </c>
      <c r="T87" s="1" t="n">
        <f aca="false">+IF($D87&gt;T$1-1,($G87+T$1)^2,0)*$C87*IF($F87="Optimization",2,1)</f>
        <v>0</v>
      </c>
      <c r="U87" s="1" t="n">
        <f aca="false">+IF($D87&gt;U$1-1,($G87+U$1)^2,0)*$C87*IF($F87="Optimization",2,1)</f>
        <v>0</v>
      </c>
      <c r="V87" s="1" t="n">
        <f aca="false">+IF($D87&gt;V$1-1,($G87+V$1)^2,0)*$C87*IF($F87="Optimization",2,1)</f>
        <v>0</v>
      </c>
      <c r="W87" s="1" t="n">
        <f aca="false">+IF($D87&gt;W$1-1,($G87+W$1)^2,0)*$C87*IF($F87="Optimization",2,1)</f>
        <v>0</v>
      </c>
      <c r="X87" s="1" t="n">
        <f aca="false">+IF($D87&gt;X$1-1,($G87+X$1)^2,0)*$C87*IF($F87="Optimization",2,1)</f>
        <v>0</v>
      </c>
      <c r="Y87" s="1" t="n">
        <f aca="false">+IF($D87&gt;Y$1-1,($G87+Y$1)^2,0)*$C87*IF($F87="Optimization",2,1)</f>
        <v>0</v>
      </c>
      <c r="Z87" s="1" t="n">
        <f aca="false">+IF($D87&gt;Z$1-1,($G87+Z$1)^2,0)*$C87*IF($F87="Optimization",2,1)</f>
        <v>0</v>
      </c>
    </row>
    <row r="88" customFormat="false" ht="15" hidden="false" customHeight="true" outlineLevel="0" collapsed="false">
      <c r="A88" s="5"/>
      <c r="B88" s="5"/>
      <c r="C88" s="6"/>
      <c r="D88" s="7"/>
      <c r="E88" s="8"/>
      <c r="F88" s="8"/>
      <c r="G88" s="9"/>
      <c r="H88" s="9"/>
      <c r="I88" s="9"/>
      <c r="J88" s="8"/>
      <c r="K88" s="9"/>
      <c r="L88" s="9"/>
      <c r="N88" s="3" t="n">
        <f aca="false">+SUM(O88:Z88)</f>
        <v>0</v>
      </c>
      <c r="O88" s="1" t="n">
        <f aca="false">+IF($D88&gt;O$1-1,($G88+O$1)^2,0)*$C88*IF($F88="Optimization",2,1)</f>
        <v>0</v>
      </c>
      <c r="P88" s="1" t="n">
        <f aca="false">+IF($D88&gt;P$1-1,($G88+P$1)^2,0)*$C88*IF($F88="Optimization",2,1)</f>
        <v>0</v>
      </c>
      <c r="Q88" s="1" t="n">
        <f aca="false">+IF($D88&gt;Q$1-1,($G88+Q$1)^2,0)*$C88*IF($F88="Optimization",2,1)</f>
        <v>0</v>
      </c>
      <c r="R88" s="1" t="n">
        <f aca="false">+IF($D88&gt;R$1-1,($G88+R$1)^2,0)*$C88*IF($F88="Optimization",2,1)</f>
        <v>0</v>
      </c>
      <c r="S88" s="1" t="n">
        <f aca="false">+IF($D88&gt;S$1-1,($G88+S$1)^2,0)*$C88*IF($F88="Optimization",2,1)</f>
        <v>0</v>
      </c>
      <c r="T88" s="1" t="n">
        <f aca="false">+IF($D88&gt;T$1-1,($G88+T$1)^2,0)*$C88*IF($F88="Optimization",2,1)</f>
        <v>0</v>
      </c>
      <c r="U88" s="1" t="n">
        <f aca="false">+IF($D88&gt;U$1-1,($G88+U$1)^2,0)*$C88*IF($F88="Optimization",2,1)</f>
        <v>0</v>
      </c>
      <c r="V88" s="1" t="n">
        <f aca="false">+IF($D88&gt;V$1-1,($G88+V$1)^2,0)*$C88*IF($F88="Optimization",2,1)</f>
        <v>0</v>
      </c>
      <c r="W88" s="1" t="n">
        <f aca="false">+IF($D88&gt;W$1-1,($G88+W$1)^2,0)*$C88*IF($F88="Optimization",2,1)</f>
        <v>0</v>
      </c>
      <c r="X88" s="1" t="n">
        <f aca="false">+IF($D88&gt;X$1-1,($G88+X$1)^2,0)*$C88*IF($F88="Optimization",2,1)</f>
        <v>0</v>
      </c>
      <c r="Y88" s="1" t="n">
        <f aca="false">+IF($D88&gt;Y$1-1,($G88+Y$1)^2,0)*$C88*IF($F88="Optimization",2,1)</f>
        <v>0</v>
      </c>
      <c r="Z88" s="1" t="n">
        <f aca="false">+IF($D88&gt;Z$1-1,($G88+Z$1)^2,0)*$C88*IF($F88="Optimization",2,1)</f>
        <v>0</v>
      </c>
    </row>
    <row r="89" customFormat="false" ht="15" hidden="false" customHeight="true" outlineLevel="0" collapsed="false">
      <c r="A89" s="5"/>
      <c r="B89" s="5"/>
      <c r="C89" s="6"/>
      <c r="D89" s="7"/>
      <c r="E89" s="8"/>
      <c r="F89" s="8"/>
      <c r="G89" s="9"/>
      <c r="H89" s="9"/>
      <c r="I89" s="9"/>
      <c r="J89" s="8"/>
      <c r="K89" s="9"/>
      <c r="L89" s="9"/>
      <c r="N89" s="3" t="n">
        <f aca="false">+SUM(O89:Z89)</f>
        <v>0</v>
      </c>
      <c r="O89" s="1" t="n">
        <f aca="false">+IF($D89&gt;O$1-1,($G89+O$1)^2,0)*$C89*IF($F89="Optimization",2,1)</f>
        <v>0</v>
      </c>
      <c r="P89" s="1" t="n">
        <f aca="false">+IF($D89&gt;P$1-1,($G89+P$1)^2,0)*$C89*IF($F89="Optimization",2,1)</f>
        <v>0</v>
      </c>
      <c r="Q89" s="1" t="n">
        <f aca="false">+IF($D89&gt;Q$1-1,($G89+Q$1)^2,0)*$C89*IF($F89="Optimization",2,1)</f>
        <v>0</v>
      </c>
      <c r="R89" s="1" t="n">
        <f aca="false">+IF($D89&gt;R$1-1,($G89+R$1)^2,0)*$C89*IF($F89="Optimization",2,1)</f>
        <v>0</v>
      </c>
      <c r="S89" s="1" t="n">
        <f aca="false">+IF($D89&gt;S$1-1,($G89+S$1)^2,0)*$C89*IF($F89="Optimization",2,1)</f>
        <v>0</v>
      </c>
      <c r="T89" s="1" t="n">
        <f aca="false">+IF($D89&gt;T$1-1,($G89+T$1)^2,0)*$C89*IF($F89="Optimization",2,1)</f>
        <v>0</v>
      </c>
      <c r="U89" s="1" t="n">
        <f aca="false">+IF($D89&gt;U$1-1,($G89+U$1)^2,0)*$C89*IF($F89="Optimization",2,1)</f>
        <v>0</v>
      </c>
      <c r="V89" s="1" t="n">
        <f aca="false">+IF($D89&gt;V$1-1,($G89+V$1)^2,0)*$C89*IF($F89="Optimization",2,1)</f>
        <v>0</v>
      </c>
      <c r="W89" s="1" t="n">
        <f aca="false">+IF($D89&gt;W$1-1,($G89+W$1)^2,0)*$C89*IF($F89="Optimization",2,1)</f>
        <v>0</v>
      </c>
      <c r="X89" s="1" t="n">
        <f aca="false">+IF($D89&gt;X$1-1,($G89+X$1)^2,0)*$C89*IF($F89="Optimization",2,1)</f>
        <v>0</v>
      </c>
      <c r="Y89" s="1" t="n">
        <f aca="false">+IF($D89&gt;Y$1-1,($G89+Y$1)^2,0)*$C89*IF($F89="Optimization",2,1)</f>
        <v>0</v>
      </c>
      <c r="Z89" s="1" t="n">
        <f aca="false">+IF($D89&gt;Z$1-1,($G89+Z$1)^2,0)*$C89*IF($F89="Optimization",2,1)</f>
        <v>0</v>
      </c>
    </row>
    <row r="90" customFormat="false" ht="15" hidden="false" customHeight="true" outlineLevel="0" collapsed="false">
      <c r="A90" s="5"/>
      <c r="B90" s="5"/>
      <c r="C90" s="6"/>
      <c r="D90" s="7"/>
      <c r="E90" s="8"/>
      <c r="F90" s="8"/>
      <c r="G90" s="9"/>
      <c r="H90" s="9"/>
      <c r="I90" s="9"/>
      <c r="J90" s="8"/>
      <c r="K90" s="9"/>
      <c r="L90" s="9"/>
      <c r="N90" s="3" t="n">
        <f aca="false">+SUM(O90:Z90)</f>
        <v>0</v>
      </c>
      <c r="O90" s="1" t="n">
        <f aca="false">+IF($D90&gt;O$1-1,($G90+O$1)^2,0)*$C90*IF($F90="Optimization",2,1)</f>
        <v>0</v>
      </c>
      <c r="P90" s="1" t="n">
        <f aca="false">+IF($D90&gt;P$1-1,($G90+P$1)^2,0)*$C90*IF($F90="Optimization",2,1)</f>
        <v>0</v>
      </c>
      <c r="Q90" s="1" t="n">
        <f aca="false">+IF($D90&gt;Q$1-1,($G90+Q$1)^2,0)*$C90*IF($F90="Optimization",2,1)</f>
        <v>0</v>
      </c>
      <c r="R90" s="1" t="n">
        <f aca="false">+IF($D90&gt;R$1-1,($G90+R$1)^2,0)*$C90*IF($F90="Optimization",2,1)</f>
        <v>0</v>
      </c>
      <c r="S90" s="1" t="n">
        <f aca="false">+IF($D90&gt;S$1-1,($G90+S$1)^2,0)*$C90*IF($F90="Optimization",2,1)</f>
        <v>0</v>
      </c>
      <c r="T90" s="1" t="n">
        <f aca="false">+IF($D90&gt;T$1-1,($G90+T$1)^2,0)*$C90*IF($F90="Optimization",2,1)</f>
        <v>0</v>
      </c>
      <c r="U90" s="1" t="n">
        <f aca="false">+IF($D90&gt;U$1-1,($G90+U$1)^2,0)*$C90*IF($F90="Optimization",2,1)</f>
        <v>0</v>
      </c>
      <c r="V90" s="1" t="n">
        <f aca="false">+IF($D90&gt;V$1-1,($G90+V$1)^2,0)*$C90*IF($F90="Optimization",2,1)</f>
        <v>0</v>
      </c>
      <c r="W90" s="1" t="n">
        <f aca="false">+IF($D90&gt;W$1-1,($G90+W$1)^2,0)*$C90*IF($F90="Optimization",2,1)</f>
        <v>0</v>
      </c>
      <c r="X90" s="1" t="n">
        <f aca="false">+IF($D90&gt;X$1-1,($G90+X$1)^2,0)*$C90*IF($F90="Optimization",2,1)</f>
        <v>0</v>
      </c>
      <c r="Y90" s="1" t="n">
        <f aca="false">+IF($D90&gt;Y$1-1,($G90+Y$1)^2,0)*$C90*IF($F90="Optimization",2,1)</f>
        <v>0</v>
      </c>
      <c r="Z90" s="1" t="n">
        <f aca="false">+IF($D90&gt;Z$1-1,($G90+Z$1)^2,0)*$C90*IF($F90="Optimization",2,1)</f>
        <v>0</v>
      </c>
    </row>
    <row r="91" customFormat="false" ht="15" hidden="false" customHeight="true" outlineLevel="0" collapsed="false">
      <c r="A91" s="5"/>
      <c r="B91" s="5"/>
      <c r="C91" s="6"/>
      <c r="D91" s="7"/>
      <c r="E91" s="8"/>
      <c r="F91" s="8"/>
      <c r="G91" s="9"/>
      <c r="H91" s="9"/>
      <c r="I91" s="9"/>
      <c r="J91" s="8"/>
      <c r="K91" s="9"/>
      <c r="L91" s="9"/>
      <c r="N91" s="3" t="n">
        <f aca="false">+SUM(O91:Z91)</f>
        <v>0</v>
      </c>
      <c r="O91" s="1" t="n">
        <f aca="false">+IF($D91&gt;O$1-1,($G91+O$1)^2,0)*$C91*IF($F91="Optimization",2,1)</f>
        <v>0</v>
      </c>
      <c r="P91" s="1" t="n">
        <f aca="false">+IF($D91&gt;P$1-1,($G91+P$1)^2,0)*$C91*IF($F91="Optimization",2,1)</f>
        <v>0</v>
      </c>
      <c r="Q91" s="1" t="n">
        <f aca="false">+IF($D91&gt;Q$1-1,($G91+Q$1)^2,0)*$C91*IF($F91="Optimization",2,1)</f>
        <v>0</v>
      </c>
      <c r="R91" s="1" t="n">
        <f aca="false">+IF($D91&gt;R$1-1,($G91+R$1)^2,0)*$C91*IF($F91="Optimization",2,1)</f>
        <v>0</v>
      </c>
      <c r="S91" s="1" t="n">
        <f aca="false">+IF($D91&gt;S$1-1,($G91+S$1)^2,0)*$C91*IF($F91="Optimization",2,1)</f>
        <v>0</v>
      </c>
      <c r="T91" s="1" t="n">
        <f aca="false">+IF($D91&gt;T$1-1,($G91+T$1)^2,0)*$C91*IF($F91="Optimization",2,1)</f>
        <v>0</v>
      </c>
      <c r="U91" s="1" t="n">
        <f aca="false">+IF($D91&gt;U$1-1,($G91+U$1)^2,0)*$C91*IF($F91="Optimization",2,1)</f>
        <v>0</v>
      </c>
      <c r="V91" s="1" t="n">
        <f aca="false">+IF($D91&gt;V$1-1,($G91+V$1)^2,0)*$C91*IF($F91="Optimization",2,1)</f>
        <v>0</v>
      </c>
      <c r="W91" s="1" t="n">
        <f aca="false">+IF($D91&gt;W$1-1,($G91+W$1)^2,0)*$C91*IF($F91="Optimization",2,1)</f>
        <v>0</v>
      </c>
      <c r="X91" s="1" t="n">
        <f aca="false">+IF($D91&gt;X$1-1,($G91+X$1)^2,0)*$C91*IF($F91="Optimization",2,1)</f>
        <v>0</v>
      </c>
      <c r="Y91" s="1" t="n">
        <f aca="false">+IF($D91&gt;Y$1-1,($G91+Y$1)^2,0)*$C91*IF($F91="Optimization",2,1)</f>
        <v>0</v>
      </c>
      <c r="Z91" s="1" t="n">
        <f aca="false">+IF($D91&gt;Z$1-1,($G91+Z$1)^2,0)*$C91*IF($F91="Optimization",2,1)</f>
        <v>0</v>
      </c>
    </row>
    <row r="92" customFormat="false" ht="15" hidden="false" customHeight="true" outlineLevel="0" collapsed="false">
      <c r="A92" s="5"/>
      <c r="B92" s="5"/>
      <c r="C92" s="6"/>
      <c r="D92" s="7"/>
      <c r="E92" s="8"/>
      <c r="F92" s="8"/>
      <c r="G92" s="9"/>
      <c r="H92" s="9"/>
      <c r="I92" s="9"/>
      <c r="J92" s="8"/>
      <c r="K92" s="9"/>
      <c r="L92" s="9"/>
      <c r="N92" s="3" t="n">
        <f aca="false">+SUM(O92:Z92)</f>
        <v>0</v>
      </c>
      <c r="O92" s="1" t="n">
        <f aca="false">+IF($D92&gt;O$1-1,($G92+O$1)^2,0)*$C92*IF($F92="Optimization",2,1)</f>
        <v>0</v>
      </c>
      <c r="P92" s="1" t="n">
        <f aca="false">+IF($D92&gt;P$1-1,($G92+P$1)^2,0)*$C92*IF($F92="Optimization",2,1)</f>
        <v>0</v>
      </c>
      <c r="Q92" s="1" t="n">
        <f aca="false">+IF($D92&gt;Q$1-1,($G92+Q$1)^2,0)*$C92*IF($F92="Optimization",2,1)</f>
        <v>0</v>
      </c>
      <c r="R92" s="1" t="n">
        <f aca="false">+IF($D92&gt;R$1-1,($G92+R$1)^2,0)*$C92*IF($F92="Optimization",2,1)</f>
        <v>0</v>
      </c>
      <c r="S92" s="1" t="n">
        <f aca="false">+IF($D92&gt;S$1-1,($G92+S$1)^2,0)*$C92*IF($F92="Optimization",2,1)</f>
        <v>0</v>
      </c>
      <c r="T92" s="1" t="n">
        <f aca="false">+IF($D92&gt;T$1-1,($G92+T$1)^2,0)*$C92*IF($F92="Optimization",2,1)</f>
        <v>0</v>
      </c>
      <c r="U92" s="1" t="n">
        <f aca="false">+IF($D92&gt;U$1-1,($G92+U$1)^2,0)*$C92*IF($F92="Optimization",2,1)</f>
        <v>0</v>
      </c>
      <c r="V92" s="1" t="n">
        <f aca="false">+IF($D92&gt;V$1-1,($G92+V$1)^2,0)*$C92*IF($F92="Optimization",2,1)</f>
        <v>0</v>
      </c>
      <c r="W92" s="1" t="n">
        <f aca="false">+IF($D92&gt;W$1-1,($G92+W$1)^2,0)*$C92*IF($F92="Optimization",2,1)</f>
        <v>0</v>
      </c>
      <c r="X92" s="1" t="n">
        <f aca="false">+IF($D92&gt;X$1-1,($G92+X$1)^2,0)*$C92*IF($F92="Optimization",2,1)</f>
        <v>0</v>
      </c>
      <c r="Y92" s="1" t="n">
        <f aca="false">+IF($D92&gt;Y$1-1,($G92+Y$1)^2,0)*$C92*IF($F92="Optimization",2,1)</f>
        <v>0</v>
      </c>
      <c r="Z92" s="1" t="n">
        <f aca="false">+IF($D92&gt;Z$1-1,($G92+Z$1)^2,0)*$C92*IF($F92="Optimization",2,1)</f>
        <v>0</v>
      </c>
    </row>
    <row r="93" customFormat="false" ht="15" hidden="false" customHeight="true" outlineLevel="0" collapsed="false">
      <c r="A93" s="5"/>
      <c r="B93" s="5"/>
      <c r="C93" s="6"/>
      <c r="D93" s="7"/>
      <c r="E93" s="8"/>
      <c r="F93" s="8"/>
      <c r="G93" s="9"/>
      <c r="H93" s="9"/>
      <c r="I93" s="9"/>
      <c r="J93" s="8"/>
      <c r="K93" s="9"/>
      <c r="L93" s="9"/>
      <c r="N93" s="3" t="n">
        <f aca="false">+SUM(O93:Z93)</f>
        <v>0</v>
      </c>
      <c r="O93" s="1" t="n">
        <f aca="false">+IF($D93&gt;O$1-1,($G93+O$1)^2,0)*$C93*IF($F93="Optimization",2,1)</f>
        <v>0</v>
      </c>
      <c r="P93" s="1" t="n">
        <f aca="false">+IF($D93&gt;P$1-1,($G93+P$1)^2,0)*$C93*IF($F93="Optimization",2,1)</f>
        <v>0</v>
      </c>
      <c r="Q93" s="1" t="n">
        <f aca="false">+IF($D93&gt;Q$1-1,($G93+Q$1)^2,0)*$C93*IF($F93="Optimization",2,1)</f>
        <v>0</v>
      </c>
      <c r="R93" s="1" t="n">
        <f aca="false">+IF($D93&gt;R$1-1,($G93+R$1)^2,0)*$C93*IF($F93="Optimization",2,1)</f>
        <v>0</v>
      </c>
      <c r="S93" s="1" t="n">
        <f aca="false">+IF($D93&gt;S$1-1,($G93+S$1)^2,0)*$C93*IF($F93="Optimization",2,1)</f>
        <v>0</v>
      </c>
      <c r="T93" s="1" t="n">
        <f aca="false">+IF($D93&gt;T$1-1,($G93+T$1)^2,0)*$C93*IF($F93="Optimization",2,1)</f>
        <v>0</v>
      </c>
      <c r="U93" s="1" t="n">
        <f aca="false">+IF($D93&gt;U$1-1,($G93+U$1)^2,0)*$C93*IF($F93="Optimization",2,1)</f>
        <v>0</v>
      </c>
      <c r="V93" s="1" t="n">
        <f aca="false">+IF($D93&gt;V$1-1,($G93+V$1)^2,0)*$C93*IF($F93="Optimization",2,1)</f>
        <v>0</v>
      </c>
      <c r="W93" s="1" t="n">
        <f aca="false">+IF($D93&gt;W$1-1,($G93+W$1)^2,0)*$C93*IF($F93="Optimization",2,1)</f>
        <v>0</v>
      </c>
      <c r="X93" s="1" t="n">
        <f aca="false">+IF($D93&gt;X$1-1,($G93+X$1)^2,0)*$C93*IF($F93="Optimization",2,1)</f>
        <v>0</v>
      </c>
      <c r="Y93" s="1" t="n">
        <f aca="false">+IF($D93&gt;Y$1-1,($G93+Y$1)^2,0)*$C93*IF($F93="Optimization",2,1)</f>
        <v>0</v>
      </c>
      <c r="Z93" s="1" t="n">
        <f aca="false">+IF($D93&gt;Z$1-1,($G93+Z$1)^2,0)*$C93*IF($F93="Optimization",2,1)</f>
        <v>0</v>
      </c>
    </row>
    <row r="94" customFormat="false" ht="15" hidden="false" customHeight="true" outlineLevel="0" collapsed="false">
      <c r="A94" s="5"/>
      <c r="B94" s="5"/>
      <c r="C94" s="6"/>
      <c r="D94" s="7"/>
      <c r="E94" s="8"/>
      <c r="F94" s="8"/>
      <c r="G94" s="9"/>
      <c r="H94" s="9"/>
      <c r="I94" s="9"/>
      <c r="J94" s="8"/>
      <c r="K94" s="9"/>
      <c r="L94" s="9"/>
      <c r="N94" s="3" t="n">
        <f aca="false">+SUM(O94:Z94)</f>
        <v>0</v>
      </c>
      <c r="O94" s="1" t="n">
        <f aca="false">+IF($D94&gt;O$1-1,($G94+O$1)^2,0)*$C94*IF($F94="Optimization",2,1)</f>
        <v>0</v>
      </c>
      <c r="P94" s="1" t="n">
        <f aca="false">+IF($D94&gt;P$1-1,($G94+P$1)^2,0)*$C94*IF($F94="Optimization",2,1)</f>
        <v>0</v>
      </c>
      <c r="Q94" s="1" t="n">
        <f aca="false">+IF($D94&gt;Q$1-1,($G94+Q$1)^2,0)*$C94*IF($F94="Optimization",2,1)</f>
        <v>0</v>
      </c>
      <c r="R94" s="1" t="n">
        <f aca="false">+IF($D94&gt;R$1-1,($G94+R$1)^2,0)*$C94*IF($F94="Optimization",2,1)</f>
        <v>0</v>
      </c>
      <c r="S94" s="1" t="n">
        <f aca="false">+IF($D94&gt;S$1-1,($G94+S$1)^2,0)*$C94*IF($F94="Optimization",2,1)</f>
        <v>0</v>
      </c>
      <c r="T94" s="1" t="n">
        <f aca="false">+IF($D94&gt;T$1-1,($G94+T$1)^2,0)*$C94*IF($F94="Optimization",2,1)</f>
        <v>0</v>
      </c>
      <c r="U94" s="1" t="n">
        <f aca="false">+IF($D94&gt;U$1-1,($G94+U$1)^2,0)*$C94*IF($F94="Optimization",2,1)</f>
        <v>0</v>
      </c>
      <c r="V94" s="1" t="n">
        <f aca="false">+IF($D94&gt;V$1-1,($G94+V$1)^2,0)*$C94*IF($F94="Optimization",2,1)</f>
        <v>0</v>
      </c>
      <c r="W94" s="1" t="n">
        <f aca="false">+IF($D94&gt;W$1-1,($G94+W$1)^2,0)*$C94*IF($F94="Optimization",2,1)</f>
        <v>0</v>
      </c>
      <c r="X94" s="1" t="n">
        <f aca="false">+IF($D94&gt;X$1-1,($G94+X$1)^2,0)*$C94*IF($F94="Optimization",2,1)</f>
        <v>0</v>
      </c>
      <c r="Y94" s="1" t="n">
        <f aca="false">+IF($D94&gt;Y$1-1,($G94+Y$1)^2,0)*$C94*IF($F94="Optimization",2,1)</f>
        <v>0</v>
      </c>
      <c r="Z94" s="1" t="n">
        <f aca="false">+IF($D94&gt;Z$1-1,($G94+Z$1)^2,0)*$C94*IF($F94="Optimization",2,1)</f>
        <v>0</v>
      </c>
    </row>
    <row r="95" customFormat="false" ht="15" hidden="false" customHeight="true" outlineLevel="0" collapsed="false">
      <c r="A95" s="5"/>
      <c r="B95" s="5"/>
      <c r="C95" s="6"/>
      <c r="D95" s="7"/>
      <c r="E95" s="8"/>
      <c r="F95" s="8"/>
      <c r="G95" s="9"/>
      <c r="H95" s="9"/>
      <c r="I95" s="9"/>
      <c r="J95" s="8"/>
      <c r="K95" s="9"/>
      <c r="L95" s="9"/>
      <c r="N95" s="3" t="n">
        <f aca="false">+SUM(O95:Z95)</f>
        <v>0</v>
      </c>
      <c r="O95" s="1" t="n">
        <f aca="false">+IF($D95&gt;O$1-1,($G95+O$1)^2,0)*$C95*IF($F95="Optimization",2,1)</f>
        <v>0</v>
      </c>
      <c r="P95" s="1" t="n">
        <f aca="false">+IF($D95&gt;P$1-1,($G95+P$1)^2,0)*$C95*IF($F95="Optimization",2,1)</f>
        <v>0</v>
      </c>
      <c r="Q95" s="1" t="n">
        <f aca="false">+IF($D95&gt;Q$1-1,($G95+Q$1)^2,0)*$C95*IF($F95="Optimization",2,1)</f>
        <v>0</v>
      </c>
      <c r="R95" s="1" t="n">
        <f aca="false">+IF($D95&gt;R$1-1,($G95+R$1)^2,0)*$C95*IF($F95="Optimization",2,1)</f>
        <v>0</v>
      </c>
      <c r="S95" s="1" t="n">
        <f aca="false">+IF($D95&gt;S$1-1,($G95+S$1)^2,0)*$C95*IF($F95="Optimization",2,1)</f>
        <v>0</v>
      </c>
      <c r="T95" s="1" t="n">
        <f aca="false">+IF($D95&gt;T$1-1,($G95+T$1)^2,0)*$C95*IF($F95="Optimization",2,1)</f>
        <v>0</v>
      </c>
      <c r="U95" s="1" t="n">
        <f aca="false">+IF($D95&gt;U$1-1,($G95+U$1)^2,0)*$C95*IF($F95="Optimization",2,1)</f>
        <v>0</v>
      </c>
      <c r="V95" s="1" t="n">
        <f aca="false">+IF($D95&gt;V$1-1,($G95+V$1)^2,0)*$C95*IF($F95="Optimization",2,1)</f>
        <v>0</v>
      </c>
      <c r="W95" s="1" t="n">
        <f aca="false">+IF($D95&gt;W$1-1,($G95+W$1)^2,0)*$C95*IF($F95="Optimization",2,1)</f>
        <v>0</v>
      </c>
      <c r="X95" s="1" t="n">
        <f aca="false">+IF($D95&gt;X$1-1,($G95+X$1)^2,0)*$C95*IF($F95="Optimization",2,1)</f>
        <v>0</v>
      </c>
      <c r="Y95" s="1" t="n">
        <f aca="false">+IF($D95&gt;Y$1-1,($G95+Y$1)^2,0)*$C95*IF($F95="Optimization",2,1)</f>
        <v>0</v>
      </c>
      <c r="Z95" s="1" t="n">
        <f aca="false">+IF($D95&gt;Z$1-1,($G95+Z$1)^2,0)*$C95*IF($F95="Optimization",2,1)</f>
        <v>0</v>
      </c>
    </row>
    <row r="96" customFormat="false" ht="15" hidden="false" customHeight="true" outlineLevel="0" collapsed="false">
      <c r="A96" s="5"/>
      <c r="B96" s="5"/>
      <c r="C96" s="6"/>
      <c r="D96" s="7"/>
      <c r="E96" s="8"/>
      <c r="F96" s="8"/>
      <c r="G96" s="9"/>
      <c r="H96" s="9"/>
      <c r="I96" s="9"/>
      <c r="J96" s="8"/>
      <c r="K96" s="9"/>
      <c r="L96" s="9"/>
      <c r="N96" s="3" t="n">
        <f aca="false">+SUM(O96:Z96)</f>
        <v>0</v>
      </c>
      <c r="O96" s="1" t="n">
        <f aca="false">+IF($D96&gt;O$1-1,($G96+O$1)^2,0)*$C96*IF($F96="Optimization",2,1)</f>
        <v>0</v>
      </c>
      <c r="P96" s="1" t="n">
        <f aca="false">+IF($D96&gt;P$1-1,($G96+P$1)^2,0)*$C96*IF($F96="Optimization",2,1)</f>
        <v>0</v>
      </c>
      <c r="Q96" s="1" t="n">
        <f aca="false">+IF($D96&gt;Q$1-1,($G96+Q$1)^2,0)*$C96*IF($F96="Optimization",2,1)</f>
        <v>0</v>
      </c>
      <c r="R96" s="1" t="n">
        <f aca="false">+IF($D96&gt;R$1-1,($G96+R$1)^2,0)*$C96*IF($F96="Optimization",2,1)</f>
        <v>0</v>
      </c>
      <c r="S96" s="1" t="n">
        <f aca="false">+IF($D96&gt;S$1-1,($G96+S$1)^2,0)*$C96*IF($F96="Optimization",2,1)</f>
        <v>0</v>
      </c>
      <c r="T96" s="1" t="n">
        <f aca="false">+IF($D96&gt;T$1-1,($G96+T$1)^2,0)*$C96*IF($F96="Optimization",2,1)</f>
        <v>0</v>
      </c>
      <c r="U96" s="1" t="n">
        <f aca="false">+IF($D96&gt;U$1-1,($G96+U$1)^2,0)*$C96*IF($F96="Optimization",2,1)</f>
        <v>0</v>
      </c>
      <c r="V96" s="1" t="n">
        <f aca="false">+IF($D96&gt;V$1-1,($G96+V$1)^2,0)*$C96*IF($F96="Optimization",2,1)</f>
        <v>0</v>
      </c>
      <c r="W96" s="1" t="n">
        <f aca="false">+IF($D96&gt;W$1-1,($G96+W$1)^2,0)*$C96*IF($F96="Optimization",2,1)</f>
        <v>0</v>
      </c>
      <c r="X96" s="1" t="n">
        <f aca="false">+IF($D96&gt;X$1-1,($G96+X$1)^2,0)*$C96*IF($F96="Optimization",2,1)</f>
        <v>0</v>
      </c>
      <c r="Y96" s="1" t="n">
        <f aca="false">+IF($D96&gt;Y$1-1,($G96+Y$1)^2,0)*$C96*IF($F96="Optimization",2,1)</f>
        <v>0</v>
      </c>
      <c r="Z96" s="1" t="n">
        <f aca="false">+IF($D96&gt;Z$1-1,($G96+Z$1)^2,0)*$C96*IF($F96="Optimization",2,1)</f>
        <v>0</v>
      </c>
    </row>
    <row r="97" customFormat="false" ht="15" hidden="false" customHeight="true" outlineLevel="0" collapsed="false">
      <c r="A97" s="5"/>
      <c r="B97" s="5"/>
      <c r="C97" s="6"/>
      <c r="D97" s="7"/>
      <c r="E97" s="8"/>
      <c r="F97" s="8"/>
      <c r="G97" s="9"/>
      <c r="H97" s="9"/>
      <c r="I97" s="9"/>
      <c r="J97" s="8"/>
      <c r="K97" s="9"/>
      <c r="L97" s="9"/>
      <c r="N97" s="3" t="n">
        <f aca="false">+SUM(O97:Z97)</f>
        <v>0</v>
      </c>
      <c r="O97" s="1" t="n">
        <f aca="false">+IF($D97&gt;O$1-1,($G97+O$1)^2,0)*$C97*IF($F97="Optimization",2,1)</f>
        <v>0</v>
      </c>
      <c r="P97" s="1" t="n">
        <f aca="false">+IF($D97&gt;P$1-1,($G97+P$1)^2,0)*$C97*IF($F97="Optimization",2,1)</f>
        <v>0</v>
      </c>
      <c r="Q97" s="1" t="n">
        <f aca="false">+IF($D97&gt;Q$1-1,($G97+Q$1)^2,0)*$C97*IF($F97="Optimization",2,1)</f>
        <v>0</v>
      </c>
      <c r="R97" s="1" t="n">
        <f aca="false">+IF($D97&gt;R$1-1,($G97+R$1)^2,0)*$C97*IF($F97="Optimization",2,1)</f>
        <v>0</v>
      </c>
      <c r="S97" s="1" t="n">
        <f aca="false">+IF($D97&gt;S$1-1,($G97+S$1)^2,0)*$C97*IF($F97="Optimization",2,1)</f>
        <v>0</v>
      </c>
      <c r="T97" s="1" t="n">
        <f aca="false">+IF($D97&gt;T$1-1,($G97+T$1)^2,0)*$C97*IF($F97="Optimization",2,1)</f>
        <v>0</v>
      </c>
      <c r="U97" s="1" t="n">
        <f aca="false">+IF($D97&gt;U$1-1,($G97+U$1)^2,0)*$C97*IF($F97="Optimization",2,1)</f>
        <v>0</v>
      </c>
      <c r="V97" s="1" t="n">
        <f aca="false">+IF($D97&gt;V$1-1,($G97+V$1)^2,0)*$C97*IF($F97="Optimization",2,1)</f>
        <v>0</v>
      </c>
      <c r="W97" s="1" t="n">
        <f aca="false">+IF($D97&gt;W$1-1,($G97+W$1)^2,0)*$C97*IF($F97="Optimization",2,1)</f>
        <v>0</v>
      </c>
      <c r="X97" s="1" t="n">
        <f aca="false">+IF($D97&gt;X$1-1,($G97+X$1)^2,0)*$C97*IF($F97="Optimization",2,1)</f>
        <v>0</v>
      </c>
      <c r="Y97" s="1" t="n">
        <f aca="false">+IF($D97&gt;Y$1-1,($G97+Y$1)^2,0)*$C97*IF($F97="Optimization",2,1)</f>
        <v>0</v>
      </c>
      <c r="Z97" s="1" t="n">
        <f aca="false">+IF($D97&gt;Z$1-1,($G97+Z$1)^2,0)*$C97*IF($F97="Optimization",2,1)</f>
        <v>0</v>
      </c>
    </row>
    <row r="98" customFormat="false" ht="15" hidden="false" customHeight="true" outlineLevel="0" collapsed="false">
      <c r="A98" s="5"/>
      <c r="B98" s="5"/>
      <c r="C98" s="6"/>
      <c r="D98" s="7"/>
      <c r="E98" s="8"/>
      <c r="F98" s="8"/>
      <c r="G98" s="9"/>
      <c r="H98" s="9"/>
      <c r="I98" s="9"/>
      <c r="J98" s="8"/>
      <c r="K98" s="9"/>
      <c r="L98" s="9"/>
      <c r="N98" s="3" t="n">
        <f aca="false">+SUM(O98:Z98)</f>
        <v>0</v>
      </c>
      <c r="O98" s="1" t="n">
        <f aca="false">+IF($D98&gt;O$1-1,($G98+O$1)^2,0)*$C98*IF($F98="Optimization",2,1)</f>
        <v>0</v>
      </c>
      <c r="P98" s="1" t="n">
        <f aca="false">+IF($D98&gt;P$1-1,($G98+P$1)^2,0)*$C98*IF($F98="Optimization",2,1)</f>
        <v>0</v>
      </c>
      <c r="Q98" s="1" t="n">
        <f aca="false">+IF($D98&gt;Q$1-1,($G98+Q$1)^2,0)*$C98*IF($F98="Optimization",2,1)</f>
        <v>0</v>
      </c>
      <c r="R98" s="1" t="n">
        <f aca="false">+IF($D98&gt;R$1-1,($G98+R$1)^2,0)*$C98*IF($F98="Optimization",2,1)</f>
        <v>0</v>
      </c>
      <c r="S98" s="1" t="n">
        <f aca="false">+IF($D98&gt;S$1-1,($G98+S$1)^2,0)*$C98*IF($F98="Optimization",2,1)</f>
        <v>0</v>
      </c>
      <c r="T98" s="1" t="n">
        <f aca="false">+IF($D98&gt;T$1-1,($G98+T$1)^2,0)*$C98*IF($F98="Optimization",2,1)</f>
        <v>0</v>
      </c>
      <c r="U98" s="1" t="n">
        <f aca="false">+IF($D98&gt;U$1-1,($G98+U$1)^2,0)*$C98*IF($F98="Optimization",2,1)</f>
        <v>0</v>
      </c>
      <c r="V98" s="1" t="n">
        <f aca="false">+IF($D98&gt;V$1-1,($G98+V$1)^2,0)*$C98*IF($F98="Optimization",2,1)</f>
        <v>0</v>
      </c>
      <c r="W98" s="1" t="n">
        <f aca="false">+IF($D98&gt;W$1-1,($G98+W$1)^2,0)*$C98*IF($F98="Optimization",2,1)</f>
        <v>0</v>
      </c>
      <c r="X98" s="1" t="n">
        <f aca="false">+IF($D98&gt;X$1-1,($G98+X$1)^2,0)*$C98*IF($F98="Optimization",2,1)</f>
        <v>0</v>
      </c>
      <c r="Y98" s="1" t="n">
        <f aca="false">+IF($D98&gt;Y$1-1,($G98+Y$1)^2,0)*$C98*IF($F98="Optimization",2,1)</f>
        <v>0</v>
      </c>
      <c r="Z98" s="1" t="n">
        <f aca="false">+IF($D98&gt;Z$1-1,($G98+Z$1)^2,0)*$C98*IF($F98="Optimization",2,1)</f>
        <v>0</v>
      </c>
    </row>
    <row r="99" customFormat="false" ht="15" hidden="false" customHeight="true" outlineLevel="0" collapsed="false">
      <c r="A99" s="5"/>
      <c r="B99" s="5"/>
      <c r="C99" s="6"/>
      <c r="D99" s="7"/>
      <c r="E99" s="8"/>
      <c r="F99" s="8"/>
      <c r="G99" s="9"/>
      <c r="H99" s="9"/>
      <c r="I99" s="9"/>
      <c r="J99" s="8"/>
      <c r="K99" s="9"/>
      <c r="L99" s="9"/>
      <c r="N99" s="3" t="n">
        <f aca="false">+SUM(O99:Z99)</f>
        <v>0</v>
      </c>
      <c r="O99" s="1" t="n">
        <f aca="false">+IF($D99&gt;O$1-1,($G99+O$1)^2,0)*$C99*IF($F99="Optimization",2,1)</f>
        <v>0</v>
      </c>
      <c r="P99" s="1" t="n">
        <f aca="false">+IF($D99&gt;P$1-1,($G99+P$1)^2,0)*$C99*IF($F99="Optimization",2,1)</f>
        <v>0</v>
      </c>
      <c r="Q99" s="1" t="n">
        <f aca="false">+IF($D99&gt;Q$1-1,($G99+Q$1)^2,0)*$C99*IF($F99="Optimization",2,1)</f>
        <v>0</v>
      </c>
      <c r="R99" s="1" t="n">
        <f aca="false">+IF($D99&gt;R$1-1,($G99+R$1)^2,0)*$C99*IF($F99="Optimization",2,1)</f>
        <v>0</v>
      </c>
      <c r="S99" s="1" t="n">
        <f aca="false">+IF($D99&gt;S$1-1,($G99+S$1)^2,0)*$C99*IF($F99="Optimization",2,1)</f>
        <v>0</v>
      </c>
      <c r="T99" s="1" t="n">
        <f aca="false">+IF($D99&gt;T$1-1,($G99+T$1)^2,0)*$C99*IF($F99="Optimization",2,1)</f>
        <v>0</v>
      </c>
      <c r="U99" s="1" t="n">
        <f aca="false">+IF($D99&gt;U$1-1,($G99+U$1)^2,0)*$C99*IF($F99="Optimization",2,1)</f>
        <v>0</v>
      </c>
      <c r="V99" s="1" t="n">
        <f aca="false">+IF($D99&gt;V$1-1,($G99+V$1)^2,0)*$C99*IF($F99="Optimization",2,1)</f>
        <v>0</v>
      </c>
      <c r="W99" s="1" t="n">
        <f aca="false">+IF($D99&gt;W$1-1,($G99+W$1)^2,0)*$C99*IF($F99="Optimization",2,1)</f>
        <v>0</v>
      </c>
      <c r="X99" s="1" t="n">
        <f aca="false">+IF($D99&gt;X$1-1,($G99+X$1)^2,0)*$C99*IF($F99="Optimization",2,1)</f>
        <v>0</v>
      </c>
      <c r="Y99" s="1" t="n">
        <f aca="false">+IF($D99&gt;Y$1-1,($G99+Y$1)^2,0)*$C99*IF($F99="Optimization",2,1)</f>
        <v>0</v>
      </c>
      <c r="Z99" s="1" t="n">
        <f aca="false">+IF($D99&gt;Z$1-1,($G99+Z$1)^2,0)*$C99*IF($F99="Optimization",2,1)</f>
        <v>0</v>
      </c>
    </row>
    <row r="100" customFormat="false" ht="15" hidden="false" customHeight="true" outlineLevel="0" collapsed="false">
      <c r="A100" s="5"/>
      <c r="B100" s="5"/>
      <c r="C100" s="6"/>
      <c r="D100" s="7"/>
      <c r="E100" s="8"/>
      <c r="F100" s="8"/>
      <c r="G100" s="9"/>
      <c r="H100" s="9"/>
      <c r="I100" s="9"/>
      <c r="J100" s="8"/>
      <c r="K100" s="9"/>
      <c r="L100" s="9"/>
      <c r="N100" s="3" t="n">
        <f aca="false">+SUM(O100:Z100)</f>
        <v>0</v>
      </c>
      <c r="O100" s="1" t="n">
        <f aca="false">+IF($D100&gt;O$1-1,($G100+O$1)^2,0)*$C100*IF($F100="Optimization",2,1)</f>
        <v>0</v>
      </c>
      <c r="P100" s="1" t="n">
        <f aca="false">+IF($D100&gt;P$1-1,($G100+P$1)^2,0)*$C100*IF($F100="Optimization",2,1)</f>
        <v>0</v>
      </c>
      <c r="Q100" s="1" t="n">
        <f aca="false">+IF($D100&gt;Q$1-1,($G100+Q$1)^2,0)*$C100*IF($F100="Optimization",2,1)</f>
        <v>0</v>
      </c>
      <c r="R100" s="1" t="n">
        <f aca="false">+IF($D100&gt;R$1-1,($G100+R$1)^2,0)*$C100*IF($F100="Optimization",2,1)</f>
        <v>0</v>
      </c>
      <c r="S100" s="1" t="n">
        <f aca="false">+IF($D100&gt;S$1-1,($G100+S$1)^2,0)*$C100*IF($F100="Optimization",2,1)</f>
        <v>0</v>
      </c>
      <c r="T100" s="1" t="n">
        <f aca="false">+IF($D100&gt;T$1-1,($G100+T$1)^2,0)*$C100*IF($F100="Optimization",2,1)</f>
        <v>0</v>
      </c>
      <c r="U100" s="1" t="n">
        <f aca="false">+IF($D100&gt;U$1-1,($G100+U$1)^2,0)*$C100*IF($F100="Optimization",2,1)</f>
        <v>0</v>
      </c>
      <c r="V100" s="1" t="n">
        <f aca="false">+IF($D100&gt;V$1-1,($G100+V$1)^2,0)*$C100*IF($F100="Optimization",2,1)</f>
        <v>0</v>
      </c>
      <c r="W100" s="1" t="n">
        <f aca="false">+IF($D100&gt;W$1-1,($G100+W$1)^2,0)*$C100*IF($F100="Optimization",2,1)</f>
        <v>0</v>
      </c>
      <c r="X100" s="1" t="n">
        <f aca="false">+IF($D100&gt;X$1-1,($G100+X$1)^2,0)*$C100*IF($F100="Optimization",2,1)</f>
        <v>0</v>
      </c>
      <c r="Y100" s="1" t="n">
        <f aca="false">+IF($D100&gt;Y$1-1,($G100+Y$1)^2,0)*$C100*IF($F100="Optimization",2,1)</f>
        <v>0</v>
      </c>
      <c r="Z100" s="1" t="n">
        <f aca="false">+IF($D100&gt;Z$1-1,($G100+Z$1)^2,0)*$C100*IF($F100="Optimization",2,1)</f>
        <v>0</v>
      </c>
    </row>
    <row r="101" customFormat="false" ht="15" hidden="false" customHeight="true" outlineLevel="0" collapsed="false">
      <c r="A101" s="5"/>
      <c r="B101" s="5"/>
      <c r="C101" s="6"/>
      <c r="D101" s="7"/>
      <c r="E101" s="8"/>
      <c r="F101" s="8"/>
      <c r="G101" s="9"/>
      <c r="H101" s="9"/>
      <c r="I101" s="9"/>
      <c r="J101" s="8"/>
      <c r="K101" s="9"/>
      <c r="L101" s="9"/>
      <c r="N101" s="3" t="n">
        <f aca="false">+SUM(O101:Z101)</f>
        <v>0</v>
      </c>
      <c r="O101" s="1" t="n">
        <f aca="false">+IF($D101&gt;O$1-1,($G101+O$1)^2,0)*$C101*IF($F101="Optimization",2,1)</f>
        <v>0</v>
      </c>
      <c r="P101" s="1" t="n">
        <f aca="false">+IF($D101&gt;P$1-1,($G101+P$1)^2,0)*$C101*IF($F101="Optimization",2,1)</f>
        <v>0</v>
      </c>
      <c r="Q101" s="1" t="n">
        <f aca="false">+IF($D101&gt;Q$1-1,($G101+Q$1)^2,0)*$C101*IF($F101="Optimization",2,1)</f>
        <v>0</v>
      </c>
      <c r="R101" s="1" t="n">
        <f aca="false">+IF($D101&gt;R$1-1,($G101+R$1)^2,0)*$C101*IF($F101="Optimization",2,1)</f>
        <v>0</v>
      </c>
      <c r="S101" s="1" t="n">
        <f aca="false">+IF($D101&gt;S$1-1,($G101+S$1)^2,0)*$C101*IF($F101="Optimization",2,1)</f>
        <v>0</v>
      </c>
      <c r="T101" s="1" t="n">
        <f aca="false">+IF($D101&gt;T$1-1,($G101+T$1)^2,0)*$C101*IF($F101="Optimization",2,1)</f>
        <v>0</v>
      </c>
      <c r="U101" s="1" t="n">
        <f aca="false">+IF($D101&gt;U$1-1,($G101+U$1)^2,0)*$C101*IF($F101="Optimization",2,1)</f>
        <v>0</v>
      </c>
      <c r="V101" s="1" t="n">
        <f aca="false">+IF($D101&gt;V$1-1,($G101+V$1)^2,0)*$C101*IF($F101="Optimization",2,1)</f>
        <v>0</v>
      </c>
      <c r="W101" s="1" t="n">
        <f aca="false">+IF($D101&gt;W$1-1,($G101+W$1)^2,0)*$C101*IF($F101="Optimization",2,1)</f>
        <v>0</v>
      </c>
      <c r="X101" s="1" t="n">
        <f aca="false">+IF($D101&gt;X$1-1,($G101+X$1)^2,0)*$C101*IF($F101="Optimization",2,1)</f>
        <v>0</v>
      </c>
      <c r="Y101" s="1" t="n">
        <f aca="false">+IF($D101&gt;Y$1-1,($G101+Y$1)^2,0)*$C101*IF($F101="Optimization",2,1)</f>
        <v>0</v>
      </c>
      <c r="Z101" s="1" t="n">
        <f aca="false">+IF($D101&gt;Z$1-1,($G101+Z$1)^2,0)*$C101*IF($F101="Optimization",2,1)</f>
        <v>0</v>
      </c>
    </row>
    <row r="102" customFormat="false" ht="15" hidden="false" customHeight="true" outlineLevel="0" collapsed="false">
      <c r="A102" s="5"/>
      <c r="B102" s="5"/>
      <c r="C102" s="6"/>
      <c r="D102" s="7"/>
      <c r="E102" s="8"/>
      <c r="F102" s="8"/>
      <c r="G102" s="9"/>
      <c r="H102" s="9"/>
      <c r="I102" s="9"/>
      <c r="J102" s="8"/>
      <c r="K102" s="9"/>
      <c r="L102" s="9"/>
      <c r="N102" s="3" t="n">
        <f aca="false">+SUM(O102:Z102)</f>
        <v>0</v>
      </c>
      <c r="O102" s="1" t="n">
        <f aca="false">+IF($D102&gt;O$1-1,($G102+O$1)^2,0)*$C102*IF($F102="Optimization",2,1)</f>
        <v>0</v>
      </c>
      <c r="P102" s="1" t="n">
        <f aca="false">+IF($D102&gt;P$1-1,($G102+P$1)^2,0)*$C102*IF($F102="Optimization",2,1)</f>
        <v>0</v>
      </c>
      <c r="Q102" s="1" t="n">
        <f aca="false">+IF($D102&gt;Q$1-1,($G102+Q$1)^2,0)*$C102*IF($F102="Optimization",2,1)</f>
        <v>0</v>
      </c>
      <c r="R102" s="1" t="n">
        <f aca="false">+IF($D102&gt;R$1-1,($G102+R$1)^2,0)*$C102*IF($F102="Optimization",2,1)</f>
        <v>0</v>
      </c>
      <c r="S102" s="1" t="n">
        <f aca="false">+IF($D102&gt;S$1-1,($G102+S$1)^2,0)*$C102*IF($F102="Optimization",2,1)</f>
        <v>0</v>
      </c>
      <c r="T102" s="1" t="n">
        <f aca="false">+IF($D102&gt;T$1-1,($G102+T$1)^2,0)*$C102*IF($F102="Optimization",2,1)</f>
        <v>0</v>
      </c>
      <c r="U102" s="1" t="n">
        <f aca="false">+IF($D102&gt;U$1-1,($G102+U$1)^2,0)*$C102*IF($F102="Optimization",2,1)</f>
        <v>0</v>
      </c>
      <c r="V102" s="1" t="n">
        <f aca="false">+IF($D102&gt;V$1-1,($G102+V$1)^2,0)*$C102*IF($F102="Optimization",2,1)</f>
        <v>0</v>
      </c>
      <c r="W102" s="1" t="n">
        <f aca="false">+IF($D102&gt;W$1-1,($G102+W$1)^2,0)*$C102*IF($F102="Optimization",2,1)</f>
        <v>0</v>
      </c>
      <c r="X102" s="1" t="n">
        <f aca="false">+IF($D102&gt;X$1-1,($G102+X$1)^2,0)*$C102*IF($F102="Optimization",2,1)</f>
        <v>0</v>
      </c>
      <c r="Y102" s="1" t="n">
        <f aca="false">+IF($D102&gt;Y$1-1,($G102+Y$1)^2,0)*$C102*IF($F102="Optimization",2,1)</f>
        <v>0</v>
      </c>
      <c r="Z102" s="1" t="n">
        <f aca="false">+IF($D102&gt;Z$1-1,($G102+Z$1)^2,0)*$C102*IF($F102="Optimization",2,1)</f>
        <v>0</v>
      </c>
    </row>
    <row r="103" customFormat="false" ht="15" hidden="false" customHeight="true" outlineLevel="0" collapsed="false">
      <c r="A103" s="5"/>
      <c r="B103" s="5"/>
      <c r="C103" s="6"/>
      <c r="D103" s="7"/>
      <c r="E103" s="8"/>
      <c r="F103" s="8"/>
      <c r="G103" s="9"/>
      <c r="H103" s="9"/>
      <c r="I103" s="9"/>
      <c r="J103" s="8"/>
      <c r="K103" s="9"/>
      <c r="L103" s="9"/>
      <c r="N103" s="3" t="n">
        <f aca="false">+SUM(O103:Z103)</f>
        <v>0</v>
      </c>
      <c r="O103" s="1" t="n">
        <f aca="false">+IF($D103&gt;O$1-1,($G103+O$1)^2,0)*$C103*IF($F103="Optimization",2,1)</f>
        <v>0</v>
      </c>
      <c r="P103" s="1" t="n">
        <f aca="false">+IF($D103&gt;P$1-1,($G103+P$1)^2,0)*$C103*IF($F103="Optimization",2,1)</f>
        <v>0</v>
      </c>
      <c r="Q103" s="1" t="n">
        <f aca="false">+IF($D103&gt;Q$1-1,($G103+Q$1)^2,0)*$C103*IF($F103="Optimization",2,1)</f>
        <v>0</v>
      </c>
      <c r="R103" s="1" t="n">
        <f aca="false">+IF($D103&gt;R$1-1,($G103+R$1)^2,0)*$C103*IF($F103="Optimization",2,1)</f>
        <v>0</v>
      </c>
      <c r="S103" s="1" t="n">
        <f aca="false">+IF($D103&gt;S$1-1,($G103+S$1)^2,0)*$C103*IF($F103="Optimization",2,1)</f>
        <v>0</v>
      </c>
      <c r="T103" s="1" t="n">
        <f aca="false">+IF($D103&gt;T$1-1,($G103+T$1)^2,0)*$C103*IF($F103="Optimization",2,1)</f>
        <v>0</v>
      </c>
      <c r="U103" s="1" t="n">
        <f aca="false">+IF($D103&gt;U$1-1,($G103+U$1)^2,0)*$C103*IF($F103="Optimization",2,1)</f>
        <v>0</v>
      </c>
      <c r="V103" s="1" t="n">
        <f aca="false">+IF($D103&gt;V$1-1,($G103+V$1)^2,0)*$C103*IF($F103="Optimization",2,1)</f>
        <v>0</v>
      </c>
      <c r="W103" s="1" t="n">
        <f aca="false">+IF($D103&gt;W$1-1,($G103+W$1)^2,0)*$C103*IF($F103="Optimization",2,1)</f>
        <v>0</v>
      </c>
      <c r="X103" s="1" t="n">
        <f aca="false">+IF($D103&gt;X$1-1,($G103+X$1)^2,0)*$C103*IF($F103="Optimization",2,1)</f>
        <v>0</v>
      </c>
      <c r="Y103" s="1" t="n">
        <f aca="false">+IF($D103&gt;Y$1-1,($G103+Y$1)^2,0)*$C103*IF($F103="Optimization",2,1)</f>
        <v>0</v>
      </c>
      <c r="Z103" s="1" t="n">
        <f aca="false">+IF($D103&gt;Z$1-1,($G103+Z$1)^2,0)*$C103*IF($F103="Optimization",2,1)</f>
        <v>0</v>
      </c>
    </row>
    <row r="104" customFormat="false" ht="15" hidden="false" customHeight="true" outlineLevel="0" collapsed="false">
      <c r="A104" s="5"/>
      <c r="B104" s="5"/>
      <c r="C104" s="6"/>
      <c r="D104" s="7"/>
      <c r="E104" s="8"/>
      <c r="F104" s="8"/>
      <c r="G104" s="9"/>
      <c r="H104" s="9"/>
      <c r="I104" s="9"/>
      <c r="J104" s="8"/>
      <c r="K104" s="9"/>
      <c r="L104" s="9"/>
      <c r="N104" s="3" t="n">
        <f aca="false">+SUM(O104:Z104)</f>
        <v>0</v>
      </c>
      <c r="O104" s="1" t="n">
        <f aca="false">+IF($D104&gt;O$1-1,($G104+O$1)^2,0)*$C104*IF($F104="Optimization",2,1)</f>
        <v>0</v>
      </c>
      <c r="P104" s="1" t="n">
        <f aca="false">+IF($D104&gt;P$1-1,($G104+P$1)^2,0)*$C104*IF($F104="Optimization",2,1)</f>
        <v>0</v>
      </c>
      <c r="Q104" s="1" t="n">
        <f aca="false">+IF($D104&gt;Q$1-1,($G104+Q$1)^2,0)*$C104*IF($F104="Optimization",2,1)</f>
        <v>0</v>
      </c>
      <c r="R104" s="1" t="n">
        <f aca="false">+IF($D104&gt;R$1-1,($G104+R$1)^2,0)*$C104*IF($F104="Optimization",2,1)</f>
        <v>0</v>
      </c>
      <c r="S104" s="1" t="n">
        <f aca="false">+IF($D104&gt;S$1-1,($G104+S$1)^2,0)*$C104*IF($F104="Optimization",2,1)</f>
        <v>0</v>
      </c>
      <c r="T104" s="1" t="n">
        <f aca="false">+IF($D104&gt;T$1-1,($G104+T$1)^2,0)*$C104*IF($F104="Optimization",2,1)</f>
        <v>0</v>
      </c>
      <c r="U104" s="1" t="n">
        <f aca="false">+IF($D104&gt;U$1-1,($G104+U$1)^2,0)*$C104*IF($F104="Optimization",2,1)</f>
        <v>0</v>
      </c>
      <c r="V104" s="1" t="n">
        <f aca="false">+IF($D104&gt;V$1-1,($G104+V$1)^2,0)*$C104*IF($F104="Optimization",2,1)</f>
        <v>0</v>
      </c>
      <c r="W104" s="1" t="n">
        <f aca="false">+IF($D104&gt;W$1-1,($G104+W$1)^2,0)*$C104*IF($F104="Optimization",2,1)</f>
        <v>0</v>
      </c>
      <c r="X104" s="1" t="n">
        <f aca="false">+IF($D104&gt;X$1-1,($G104+X$1)^2,0)*$C104*IF($F104="Optimization",2,1)</f>
        <v>0</v>
      </c>
      <c r="Y104" s="1" t="n">
        <f aca="false">+IF($D104&gt;Y$1-1,($G104+Y$1)^2,0)*$C104*IF($F104="Optimization",2,1)</f>
        <v>0</v>
      </c>
      <c r="Z104" s="1" t="n">
        <f aca="false">+IF($D104&gt;Z$1-1,($G104+Z$1)^2,0)*$C104*IF($F104="Optimization",2,1)</f>
        <v>0</v>
      </c>
    </row>
    <row r="105" customFormat="false" ht="15" hidden="false" customHeight="true" outlineLevel="0" collapsed="false">
      <c r="A105" s="5"/>
      <c r="B105" s="5"/>
      <c r="C105" s="6"/>
      <c r="D105" s="7"/>
      <c r="E105" s="8"/>
      <c r="F105" s="8"/>
      <c r="G105" s="9"/>
      <c r="H105" s="9"/>
      <c r="I105" s="9"/>
      <c r="J105" s="8"/>
      <c r="K105" s="9"/>
      <c r="L105" s="9"/>
      <c r="N105" s="3" t="n">
        <f aca="false">+SUM(O105:Z105)</f>
        <v>0</v>
      </c>
      <c r="O105" s="1" t="n">
        <f aca="false">+IF($D105&gt;O$1-1,($G105+O$1)^2,0)*$C105*IF($F105="Optimization",2,1)</f>
        <v>0</v>
      </c>
      <c r="P105" s="1" t="n">
        <f aca="false">+IF($D105&gt;P$1-1,($G105+P$1)^2,0)*$C105*IF($F105="Optimization",2,1)</f>
        <v>0</v>
      </c>
      <c r="Q105" s="1" t="n">
        <f aca="false">+IF($D105&gt;Q$1-1,($G105+Q$1)^2,0)*$C105*IF($F105="Optimization",2,1)</f>
        <v>0</v>
      </c>
      <c r="R105" s="1" t="n">
        <f aca="false">+IF($D105&gt;R$1-1,($G105+R$1)^2,0)*$C105*IF($F105="Optimization",2,1)</f>
        <v>0</v>
      </c>
      <c r="S105" s="1" t="n">
        <f aca="false">+IF($D105&gt;S$1-1,($G105+S$1)^2,0)*$C105*IF($F105="Optimization",2,1)</f>
        <v>0</v>
      </c>
      <c r="T105" s="1" t="n">
        <f aca="false">+IF($D105&gt;T$1-1,($G105+T$1)^2,0)*$C105*IF($F105="Optimization",2,1)</f>
        <v>0</v>
      </c>
      <c r="U105" s="1" t="n">
        <f aca="false">+IF($D105&gt;U$1-1,($G105+U$1)^2,0)*$C105*IF($F105="Optimization",2,1)</f>
        <v>0</v>
      </c>
      <c r="V105" s="1" t="n">
        <f aca="false">+IF($D105&gt;V$1-1,($G105+V$1)^2,0)*$C105*IF($F105="Optimization",2,1)</f>
        <v>0</v>
      </c>
      <c r="W105" s="1" t="n">
        <f aca="false">+IF($D105&gt;W$1-1,($G105+W$1)^2,0)*$C105*IF($F105="Optimization",2,1)</f>
        <v>0</v>
      </c>
      <c r="X105" s="1" t="n">
        <f aca="false">+IF($D105&gt;X$1-1,($G105+X$1)^2,0)*$C105*IF($F105="Optimization",2,1)</f>
        <v>0</v>
      </c>
      <c r="Y105" s="1" t="n">
        <f aca="false">+IF($D105&gt;Y$1-1,($G105+Y$1)^2,0)*$C105*IF($F105="Optimization",2,1)</f>
        <v>0</v>
      </c>
      <c r="Z105" s="1" t="n">
        <f aca="false">+IF($D105&gt;Z$1-1,($G105+Z$1)^2,0)*$C105*IF($F105="Optimization",2,1)</f>
        <v>0</v>
      </c>
    </row>
    <row r="106" customFormat="false" ht="15" hidden="false" customHeight="true" outlineLevel="0" collapsed="false">
      <c r="A106" s="5"/>
      <c r="B106" s="5"/>
      <c r="C106" s="6"/>
      <c r="D106" s="7"/>
      <c r="E106" s="8"/>
      <c r="F106" s="8"/>
      <c r="G106" s="9"/>
      <c r="H106" s="9"/>
      <c r="I106" s="9"/>
      <c r="J106" s="8"/>
      <c r="K106" s="9"/>
      <c r="L106" s="9"/>
      <c r="N106" s="3" t="n">
        <f aca="false">+SUM(O106:Z106)</f>
        <v>0</v>
      </c>
      <c r="O106" s="1" t="n">
        <f aca="false">+IF($D106&gt;O$1-1,($G106+O$1)^2,0)*$C106*IF($F106="Optimization",2,1)</f>
        <v>0</v>
      </c>
      <c r="P106" s="1" t="n">
        <f aca="false">+IF($D106&gt;P$1-1,($G106+P$1)^2,0)*$C106*IF($F106="Optimization",2,1)</f>
        <v>0</v>
      </c>
      <c r="Q106" s="1" t="n">
        <f aca="false">+IF($D106&gt;Q$1-1,($G106+Q$1)^2,0)*$C106*IF($F106="Optimization",2,1)</f>
        <v>0</v>
      </c>
      <c r="R106" s="1" t="n">
        <f aca="false">+IF($D106&gt;R$1-1,($G106+R$1)^2,0)*$C106*IF($F106="Optimization",2,1)</f>
        <v>0</v>
      </c>
      <c r="S106" s="1" t="n">
        <f aca="false">+IF($D106&gt;S$1-1,($G106+S$1)^2,0)*$C106*IF($F106="Optimization",2,1)</f>
        <v>0</v>
      </c>
      <c r="T106" s="1" t="n">
        <f aca="false">+IF($D106&gt;T$1-1,($G106+T$1)^2,0)*$C106*IF($F106="Optimization",2,1)</f>
        <v>0</v>
      </c>
      <c r="U106" s="1" t="n">
        <f aca="false">+IF($D106&gt;U$1-1,($G106+U$1)^2,0)*$C106*IF($F106="Optimization",2,1)</f>
        <v>0</v>
      </c>
      <c r="V106" s="1" t="n">
        <f aca="false">+IF($D106&gt;V$1-1,($G106+V$1)^2,0)*$C106*IF($F106="Optimization",2,1)</f>
        <v>0</v>
      </c>
      <c r="W106" s="1" t="n">
        <f aca="false">+IF($D106&gt;W$1-1,($G106+W$1)^2,0)*$C106*IF($F106="Optimization",2,1)</f>
        <v>0</v>
      </c>
      <c r="X106" s="1" t="n">
        <f aca="false">+IF($D106&gt;X$1-1,($G106+X$1)^2,0)*$C106*IF($F106="Optimization",2,1)</f>
        <v>0</v>
      </c>
      <c r="Y106" s="1" t="n">
        <f aca="false">+IF($D106&gt;Y$1-1,($G106+Y$1)^2,0)*$C106*IF($F106="Optimization",2,1)</f>
        <v>0</v>
      </c>
      <c r="Z106" s="1" t="n">
        <f aca="false">+IF($D106&gt;Z$1-1,($G106+Z$1)^2,0)*$C106*IF($F106="Optimization",2,1)</f>
        <v>0</v>
      </c>
    </row>
    <row r="107" customFormat="false" ht="15" hidden="false" customHeight="true" outlineLevel="0" collapsed="false">
      <c r="A107" s="5"/>
      <c r="B107" s="5"/>
      <c r="C107" s="6"/>
      <c r="D107" s="7"/>
      <c r="E107" s="8"/>
      <c r="F107" s="8"/>
      <c r="G107" s="9"/>
      <c r="H107" s="9"/>
      <c r="I107" s="9"/>
      <c r="J107" s="8"/>
      <c r="K107" s="9"/>
      <c r="L107" s="9"/>
      <c r="N107" s="3" t="n">
        <f aca="false">+SUM(O107:Z107)</f>
        <v>0</v>
      </c>
      <c r="O107" s="1" t="n">
        <f aca="false">+IF($D107&gt;O$1-1,($G107+O$1)^2,0)*$C107*IF($F107="Optimization",2,1)</f>
        <v>0</v>
      </c>
      <c r="P107" s="1" t="n">
        <f aca="false">+IF($D107&gt;P$1-1,($G107+P$1)^2,0)*$C107*IF($F107="Optimization",2,1)</f>
        <v>0</v>
      </c>
      <c r="Q107" s="1" t="n">
        <f aca="false">+IF($D107&gt;Q$1-1,($G107+Q$1)^2,0)*$C107*IF($F107="Optimization",2,1)</f>
        <v>0</v>
      </c>
      <c r="R107" s="1" t="n">
        <f aca="false">+IF($D107&gt;R$1-1,($G107+R$1)^2,0)*$C107*IF($F107="Optimization",2,1)</f>
        <v>0</v>
      </c>
      <c r="S107" s="1" t="n">
        <f aca="false">+IF($D107&gt;S$1-1,($G107+S$1)^2,0)*$C107*IF($F107="Optimization",2,1)</f>
        <v>0</v>
      </c>
      <c r="T107" s="1" t="n">
        <f aca="false">+IF($D107&gt;T$1-1,($G107+T$1)^2,0)*$C107*IF($F107="Optimization",2,1)</f>
        <v>0</v>
      </c>
      <c r="U107" s="1" t="n">
        <f aca="false">+IF($D107&gt;U$1-1,($G107+U$1)^2,0)*$C107*IF($F107="Optimization",2,1)</f>
        <v>0</v>
      </c>
      <c r="V107" s="1" t="n">
        <f aca="false">+IF($D107&gt;V$1-1,($G107+V$1)^2,0)*$C107*IF($F107="Optimization",2,1)</f>
        <v>0</v>
      </c>
      <c r="W107" s="1" t="n">
        <f aca="false">+IF($D107&gt;W$1-1,($G107+W$1)^2,0)*$C107*IF($F107="Optimization",2,1)</f>
        <v>0</v>
      </c>
      <c r="X107" s="1" t="n">
        <f aca="false">+IF($D107&gt;X$1-1,($G107+X$1)^2,0)*$C107*IF($F107="Optimization",2,1)</f>
        <v>0</v>
      </c>
      <c r="Y107" s="1" t="n">
        <f aca="false">+IF($D107&gt;Y$1-1,($G107+Y$1)^2,0)*$C107*IF($F107="Optimization",2,1)</f>
        <v>0</v>
      </c>
      <c r="Z107" s="1" t="n">
        <f aca="false">+IF($D107&gt;Z$1-1,($G107+Z$1)^2,0)*$C107*IF($F107="Optimization",2,1)</f>
        <v>0</v>
      </c>
    </row>
    <row r="108" customFormat="false" ht="15" hidden="false" customHeight="true" outlineLevel="0" collapsed="false">
      <c r="A108" s="5"/>
      <c r="B108" s="5"/>
      <c r="C108" s="6"/>
      <c r="D108" s="7"/>
      <c r="E108" s="8"/>
      <c r="F108" s="8"/>
      <c r="G108" s="9"/>
      <c r="H108" s="9"/>
      <c r="I108" s="9"/>
      <c r="J108" s="8"/>
      <c r="K108" s="9"/>
      <c r="L108" s="9"/>
      <c r="N108" s="3" t="n">
        <f aca="false">+SUM(O108:Z108)</f>
        <v>0</v>
      </c>
      <c r="O108" s="1" t="n">
        <f aca="false">+IF($D108&gt;O$1-1,($G108+O$1)^2,0)*$C108*IF($F108="Optimization",2,1)</f>
        <v>0</v>
      </c>
      <c r="P108" s="1" t="n">
        <f aca="false">+IF($D108&gt;P$1-1,($G108+P$1)^2,0)*$C108*IF($F108="Optimization",2,1)</f>
        <v>0</v>
      </c>
      <c r="Q108" s="1" t="n">
        <f aca="false">+IF($D108&gt;Q$1-1,($G108+Q$1)^2,0)*$C108*IF($F108="Optimization",2,1)</f>
        <v>0</v>
      </c>
      <c r="R108" s="1" t="n">
        <f aca="false">+IF($D108&gt;R$1-1,($G108+R$1)^2,0)*$C108*IF($F108="Optimization",2,1)</f>
        <v>0</v>
      </c>
      <c r="S108" s="1" t="n">
        <f aca="false">+IF($D108&gt;S$1-1,($G108+S$1)^2,0)*$C108*IF($F108="Optimization",2,1)</f>
        <v>0</v>
      </c>
      <c r="T108" s="1" t="n">
        <f aca="false">+IF($D108&gt;T$1-1,($G108+T$1)^2,0)*$C108*IF($F108="Optimization",2,1)</f>
        <v>0</v>
      </c>
      <c r="U108" s="1" t="n">
        <f aca="false">+IF($D108&gt;U$1-1,($G108+U$1)^2,0)*$C108*IF($F108="Optimization",2,1)</f>
        <v>0</v>
      </c>
      <c r="V108" s="1" t="n">
        <f aca="false">+IF($D108&gt;V$1-1,($G108+V$1)^2,0)*$C108*IF($F108="Optimization",2,1)</f>
        <v>0</v>
      </c>
      <c r="W108" s="1" t="n">
        <f aca="false">+IF($D108&gt;W$1-1,($G108+W$1)^2,0)*$C108*IF($F108="Optimization",2,1)</f>
        <v>0</v>
      </c>
      <c r="X108" s="1" t="n">
        <f aca="false">+IF($D108&gt;X$1-1,($G108+X$1)^2,0)*$C108*IF($F108="Optimization",2,1)</f>
        <v>0</v>
      </c>
      <c r="Y108" s="1" t="n">
        <f aca="false">+IF($D108&gt;Y$1-1,($G108+Y$1)^2,0)*$C108*IF($F108="Optimization",2,1)</f>
        <v>0</v>
      </c>
      <c r="Z108" s="1" t="n">
        <f aca="false">+IF($D108&gt;Z$1-1,($G108+Z$1)^2,0)*$C108*IF($F108="Optimization",2,1)</f>
        <v>0</v>
      </c>
    </row>
    <row r="109" customFormat="false" ht="15" hidden="false" customHeight="true" outlineLevel="0" collapsed="false">
      <c r="A109" s="5"/>
      <c r="B109" s="5"/>
      <c r="C109" s="6"/>
      <c r="D109" s="7"/>
      <c r="E109" s="8"/>
      <c r="F109" s="8"/>
      <c r="G109" s="9"/>
      <c r="H109" s="9"/>
      <c r="I109" s="9"/>
      <c r="J109" s="8"/>
      <c r="K109" s="9"/>
      <c r="L109" s="9"/>
      <c r="N109" s="3" t="n">
        <f aca="false">+SUM(O109:Z109)</f>
        <v>0</v>
      </c>
      <c r="O109" s="1" t="n">
        <f aca="false">+IF($D109&gt;O$1-1,($G109+O$1)^2,0)*$C109*IF($F109="Optimization",2,1)</f>
        <v>0</v>
      </c>
      <c r="P109" s="1" t="n">
        <f aca="false">+IF($D109&gt;P$1-1,($G109+P$1)^2,0)*$C109*IF($F109="Optimization",2,1)</f>
        <v>0</v>
      </c>
      <c r="Q109" s="1" t="n">
        <f aca="false">+IF($D109&gt;Q$1-1,($G109+Q$1)^2,0)*$C109*IF($F109="Optimization",2,1)</f>
        <v>0</v>
      </c>
      <c r="R109" s="1" t="n">
        <f aca="false">+IF($D109&gt;R$1-1,($G109+R$1)^2,0)*$C109*IF($F109="Optimization",2,1)</f>
        <v>0</v>
      </c>
      <c r="S109" s="1" t="n">
        <f aca="false">+IF($D109&gt;S$1-1,($G109+S$1)^2,0)*$C109*IF($F109="Optimization",2,1)</f>
        <v>0</v>
      </c>
      <c r="T109" s="1" t="n">
        <f aca="false">+IF($D109&gt;T$1-1,($G109+T$1)^2,0)*$C109*IF($F109="Optimization",2,1)</f>
        <v>0</v>
      </c>
      <c r="U109" s="1" t="n">
        <f aca="false">+IF($D109&gt;U$1-1,($G109+U$1)^2,0)*$C109*IF($F109="Optimization",2,1)</f>
        <v>0</v>
      </c>
      <c r="V109" s="1" t="n">
        <f aca="false">+IF($D109&gt;V$1-1,($G109+V$1)^2,0)*$C109*IF($F109="Optimization",2,1)</f>
        <v>0</v>
      </c>
      <c r="W109" s="1" t="n">
        <f aca="false">+IF($D109&gt;W$1-1,($G109+W$1)^2,0)*$C109*IF($F109="Optimization",2,1)</f>
        <v>0</v>
      </c>
      <c r="X109" s="1" t="n">
        <f aca="false">+IF($D109&gt;X$1-1,($G109+X$1)^2,0)*$C109*IF($F109="Optimization",2,1)</f>
        <v>0</v>
      </c>
      <c r="Y109" s="1" t="n">
        <f aca="false">+IF($D109&gt;Y$1-1,($G109+Y$1)^2,0)*$C109*IF($F109="Optimization",2,1)</f>
        <v>0</v>
      </c>
      <c r="Z109" s="1" t="n">
        <f aca="false">+IF($D109&gt;Z$1-1,($G109+Z$1)^2,0)*$C109*IF($F109="Optimization",2,1)</f>
        <v>0</v>
      </c>
    </row>
    <row r="110" customFormat="false" ht="15" hidden="false" customHeight="true" outlineLevel="0" collapsed="false">
      <c r="A110" s="5"/>
      <c r="B110" s="5"/>
      <c r="C110" s="6"/>
      <c r="D110" s="7"/>
      <c r="E110" s="8"/>
      <c r="F110" s="8"/>
      <c r="G110" s="9"/>
      <c r="H110" s="9"/>
      <c r="I110" s="9"/>
      <c r="J110" s="8"/>
      <c r="K110" s="9"/>
      <c r="L110" s="9"/>
      <c r="N110" s="3" t="n">
        <f aca="false">+SUM(O110:Z110)</f>
        <v>0</v>
      </c>
      <c r="O110" s="1" t="n">
        <f aca="false">+IF($D110&gt;O$1-1,($G110+O$1)^2,0)*$C110*IF($F110="Optimization",2,1)</f>
        <v>0</v>
      </c>
      <c r="P110" s="1" t="n">
        <f aca="false">+IF($D110&gt;P$1-1,($G110+P$1)^2,0)*$C110*IF($F110="Optimization",2,1)</f>
        <v>0</v>
      </c>
      <c r="Q110" s="1" t="n">
        <f aca="false">+IF($D110&gt;Q$1-1,($G110+Q$1)^2,0)*$C110*IF($F110="Optimization",2,1)</f>
        <v>0</v>
      </c>
      <c r="R110" s="1" t="n">
        <f aca="false">+IF($D110&gt;R$1-1,($G110+R$1)^2,0)*$C110*IF($F110="Optimization",2,1)</f>
        <v>0</v>
      </c>
      <c r="S110" s="1" t="n">
        <f aca="false">+IF($D110&gt;S$1-1,($G110+S$1)^2,0)*$C110*IF($F110="Optimization",2,1)</f>
        <v>0</v>
      </c>
      <c r="T110" s="1" t="n">
        <f aca="false">+IF($D110&gt;T$1-1,($G110+T$1)^2,0)*$C110*IF($F110="Optimization",2,1)</f>
        <v>0</v>
      </c>
      <c r="U110" s="1" t="n">
        <f aca="false">+IF($D110&gt;U$1-1,($G110+U$1)^2,0)*$C110*IF($F110="Optimization",2,1)</f>
        <v>0</v>
      </c>
      <c r="V110" s="1" t="n">
        <f aca="false">+IF($D110&gt;V$1-1,($G110+V$1)^2,0)*$C110*IF($F110="Optimization",2,1)</f>
        <v>0</v>
      </c>
      <c r="W110" s="1" t="n">
        <f aca="false">+IF($D110&gt;W$1-1,($G110+W$1)^2,0)*$C110*IF($F110="Optimization",2,1)</f>
        <v>0</v>
      </c>
      <c r="X110" s="1" t="n">
        <f aca="false">+IF($D110&gt;X$1-1,($G110+X$1)^2,0)*$C110*IF($F110="Optimization",2,1)</f>
        <v>0</v>
      </c>
      <c r="Y110" s="1" t="n">
        <f aca="false">+IF($D110&gt;Y$1-1,($G110+Y$1)^2,0)*$C110*IF($F110="Optimization",2,1)</f>
        <v>0</v>
      </c>
      <c r="Z110" s="1" t="n">
        <f aca="false">+IF($D110&gt;Z$1-1,($G110+Z$1)^2,0)*$C110*IF($F110="Optimization",2,1)</f>
        <v>0</v>
      </c>
    </row>
    <row r="111" customFormat="false" ht="15" hidden="false" customHeight="true" outlineLevel="0" collapsed="false">
      <c r="A111" s="5"/>
      <c r="B111" s="5"/>
      <c r="C111" s="6"/>
      <c r="D111" s="7"/>
      <c r="E111" s="8"/>
      <c r="F111" s="8"/>
      <c r="G111" s="9"/>
      <c r="H111" s="9"/>
      <c r="I111" s="9"/>
      <c r="J111" s="8"/>
      <c r="K111" s="9"/>
      <c r="L111" s="9"/>
      <c r="N111" s="3" t="n">
        <f aca="false">+SUM(O111:Z111)</f>
        <v>0</v>
      </c>
      <c r="O111" s="1" t="n">
        <f aca="false">+IF($D111&gt;O$1-1,($G111+O$1)^2,0)*$C111*IF($F111="Optimization",2,1)</f>
        <v>0</v>
      </c>
      <c r="P111" s="1" t="n">
        <f aca="false">+IF($D111&gt;P$1-1,($G111+P$1)^2,0)*$C111*IF($F111="Optimization",2,1)</f>
        <v>0</v>
      </c>
      <c r="Q111" s="1" t="n">
        <f aca="false">+IF($D111&gt;Q$1-1,($G111+Q$1)^2,0)*$C111*IF($F111="Optimization",2,1)</f>
        <v>0</v>
      </c>
      <c r="R111" s="1" t="n">
        <f aca="false">+IF($D111&gt;R$1-1,($G111+R$1)^2,0)*$C111*IF($F111="Optimization",2,1)</f>
        <v>0</v>
      </c>
      <c r="S111" s="1" t="n">
        <f aca="false">+IF($D111&gt;S$1-1,($G111+S$1)^2,0)*$C111*IF($F111="Optimization",2,1)</f>
        <v>0</v>
      </c>
      <c r="T111" s="1" t="n">
        <f aca="false">+IF($D111&gt;T$1-1,($G111+T$1)^2,0)*$C111*IF($F111="Optimization",2,1)</f>
        <v>0</v>
      </c>
      <c r="U111" s="1" t="n">
        <f aca="false">+IF($D111&gt;U$1-1,($G111+U$1)^2,0)*$C111*IF($F111="Optimization",2,1)</f>
        <v>0</v>
      </c>
      <c r="V111" s="1" t="n">
        <f aca="false">+IF($D111&gt;V$1-1,($G111+V$1)^2,0)*$C111*IF($F111="Optimization",2,1)</f>
        <v>0</v>
      </c>
      <c r="W111" s="1" t="n">
        <f aca="false">+IF($D111&gt;W$1-1,($G111+W$1)^2,0)*$C111*IF($F111="Optimization",2,1)</f>
        <v>0</v>
      </c>
      <c r="X111" s="1" t="n">
        <f aca="false">+IF($D111&gt;X$1-1,($G111+X$1)^2,0)*$C111*IF($F111="Optimization",2,1)</f>
        <v>0</v>
      </c>
      <c r="Y111" s="1" t="n">
        <f aca="false">+IF($D111&gt;Y$1-1,($G111+Y$1)^2,0)*$C111*IF($F111="Optimization",2,1)</f>
        <v>0</v>
      </c>
      <c r="Z111" s="1" t="n">
        <f aca="false">+IF($D111&gt;Z$1-1,($G111+Z$1)^2,0)*$C111*IF($F111="Optimization",2,1)</f>
        <v>0</v>
      </c>
    </row>
    <row r="112" customFormat="false" ht="15" hidden="false" customHeight="true" outlineLevel="0" collapsed="false">
      <c r="A112" s="5"/>
      <c r="B112" s="5"/>
      <c r="C112" s="6"/>
      <c r="D112" s="7"/>
      <c r="E112" s="8"/>
      <c r="F112" s="8"/>
      <c r="G112" s="9"/>
      <c r="H112" s="9"/>
      <c r="I112" s="9"/>
      <c r="J112" s="8"/>
      <c r="K112" s="9"/>
      <c r="L112" s="9"/>
      <c r="N112" s="3" t="n">
        <f aca="false">+SUM(O112:Z112)</f>
        <v>0</v>
      </c>
      <c r="O112" s="1" t="n">
        <f aca="false">+IF($D112&gt;O$1-1,($G112+O$1)^2,0)*$C112*IF($F112="Optimization",2,1)</f>
        <v>0</v>
      </c>
      <c r="P112" s="1" t="n">
        <f aca="false">+IF($D112&gt;P$1-1,($G112+P$1)^2,0)*$C112*IF($F112="Optimization",2,1)</f>
        <v>0</v>
      </c>
      <c r="Q112" s="1" t="n">
        <f aca="false">+IF($D112&gt;Q$1-1,($G112+Q$1)^2,0)*$C112*IF($F112="Optimization",2,1)</f>
        <v>0</v>
      </c>
      <c r="R112" s="1" t="n">
        <f aca="false">+IF($D112&gt;R$1-1,($G112+R$1)^2,0)*$C112*IF($F112="Optimization",2,1)</f>
        <v>0</v>
      </c>
      <c r="S112" s="1" t="n">
        <f aca="false">+IF($D112&gt;S$1-1,($G112+S$1)^2,0)*$C112*IF($F112="Optimization",2,1)</f>
        <v>0</v>
      </c>
      <c r="T112" s="1" t="n">
        <f aca="false">+IF($D112&gt;T$1-1,($G112+T$1)^2,0)*$C112*IF($F112="Optimization",2,1)</f>
        <v>0</v>
      </c>
      <c r="U112" s="1" t="n">
        <f aca="false">+IF($D112&gt;U$1-1,($G112+U$1)^2,0)*$C112*IF($F112="Optimization",2,1)</f>
        <v>0</v>
      </c>
      <c r="V112" s="1" t="n">
        <f aca="false">+IF($D112&gt;V$1-1,($G112+V$1)^2,0)*$C112*IF($F112="Optimization",2,1)</f>
        <v>0</v>
      </c>
      <c r="W112" s="1" t="n">
        <f aca="false">+IF($D112&gt;W$1-1,($G112+W$1)^2,0)*$C112*IF($F112="Optimization",2,1)</f>
        <v>0</v>
      </c>
      <c r="X112" s="1" t="n">
        <f aca="false">+IF($D112&gt;X$1-1,($G112+X$1)^2,0)*$C112*IF($F112="Optimization",2,1)</f>
        <v>0</v>
      </c>
      <c r="Y112" s="1" t="n">
        <f aca="false">+IF($D112&gt;Y$1-1,($G112+Y$1)^2,0)*$C112*IF($F112="Optimization",2,1)</f>
        <v>0</v>
      </c>
      <c r="Z112" s="1" t="n">
        <f aca="false">+IF($D112&gt;Z$1-1,($G112+Z$1)^2,0)*$C112*IF($F112="Optimization",2,1)</f>
        <v>0</v>
      </c>
    </row>
    <row r="113" customFormat="false" ht="15" hidden="false" customHeight="true" outlineLevel="0" collapsed="false">
      <c r="A113" s="5"/>
      <c r="B113" s="5"/>
      <c r="C113" s="6"/>
      <c r="D113" s="7"/>
      <c r="E113" s="8"/>
      <c r="F113" s="8"/>
      <c r="G113" s="9"/>
      <c r="H113" s="9"/>
      <c r="I113" s="9"/>
      <c r="J113" s="8"/>
      <c r="K113" s="9"/>
      <c r="L113" s="9"/>
      <c r="N113" s="3" t="n">
        <f aca="false">+SUM(O113:Z113)</f>
        <v>0</v>
      </c>
      <c r="O113" s="1" t="n">
        <f aca="false">+IF($D113&gt;O$1-1,($G113+O$1)^2,0)*$C113*IF($F113="Optimization",2,1)</f>
        <v>0</v>
      </c>
      <c r="P113" s="1" t="n">
        <f aca="false">+IF($D113&gt;P$1-1,($G113+P$1)^2,0)*$C113*IF($F113="Optimization",2,1)</f>
        <v>0</v>
      </c>
      <c r="Q113" s="1" t="n">
        <f aca="false">+IF($D113&gt;Q$1-1,($G113+Q$1)^2,0)*$C113*IF($F113="Optimization",2,1)</f>
        <v>0</v>
      </c>
      <c r="R113" s="1" t="n">
        <f aca="false">+IF($D113&gt;R$1-1,($G113+R$1)^2,0)*$C113*IF($F113="Optimization",2,1)</f>
        <v>0</v>
      </c>
      <c r="S113" s="1" t="n">
        <f aca="false">+IF($D113&gt;S$1-1,($G113+S$1)^2,0)*$C113*IF($F113="Optimization",2,1)</f>
        <v>0</v>
      </c>
      <c r="T113" s="1" t="n">
        <f aca="false">+IF($D113&gt;T$1-1,($G113+T$1)^2,0)*$C113*IF($F113="Optimization",2,1)</f>
        <v>0</v>
      </c>
      <c r="U113" s="1" t="n">
        <f aca="false">+IF($D113&gt;U$1-1,($G113+U$1)^2,0)*$C113*IF($F113="Optimization",2,1)</f>
        <v>0</v>
      </c>
      <c r="V113" s="1" t="n">
        <f aca="false">+IF($D113&gt;V$1-1,($G113+V$1)^2,0)*$C113*IF($F113="Optimization",2,1)</f>
        <v>0</v>
      </c>
      <c r="W113" s="1" t="n">
        <f aca="false">+IF($D113&gt;W$1-1,($G113+W$1)^2,0)*$C113*IF($F113="Optimization",2,1)</f>
        <v>0</v>
      </c>
      <c r="X113" s="1" t="n">
        <f aca="false">+IF($D113&gt;X$1-1,($G113+X$1)^2,0)*$C113*IF($F113="Optimization",2,1)</f>
        <v>0</v>
      </c>
      <c r="Y113" s="1" t="n">
        <f aca="false">+IF($D113&gt;Y$1-1,($G113+Y$1)^2,0)*$C113*IF($F113="Optimization",2,1)</f>
        <v>0</v>
      </c>
      <c r="Z113" s="1" t="n">
        <f aca="false">+IF($D113&gt;Z$1-1,($G113+Z$1)^2,0)*$C113*IF($F113="Optimization",2,1)</f>
        <v>0</v>
      </c>
    </row>
    <row r="114" customFormat="false" ht="15" hidden="false" customHeight="true" outlineLevel="0" collapsed="false">
      <c r="A114" s="5"/>
      <c r="B114" s="5"/>
      <c r="C114" s="6"/>
      <c r="D114" s="7"/>
      <c r="E114" s="8"/>
      <c r="F114" s="8"/>
      <c r="G114" s="9"/>
      <c r="H114" s="9"/>
      <c r="I114" s="9"/>
      <c r="J114" s="8"/>
      <c r="K114" s="9"/>
      <c r="L114" s="9"/>
      <c r="N114" s="3" t="n">
        <f aca="false">+SUM(O114:Z114)</f>
        <v>0</v>
      </c>
      <c r="O114" s="1" t="n">
        <f aca="false">+IF($D114&gt;O$1-1,($G114+O$1)^2,0)*$C114*IF($F114="Optimization",2,1)</f>
        <v>0</v>
      </c>
      <c r="P114" s="1" t="n">
        <f aca="false">+IF($D114&gt;P$1-1,($G114+P$1)^2,0)*$C114*IF($F114="Optimization",2,1)</f>
        <v>0</v>
      </c>
      <c r="Q114" s="1" t="n">
        <f aca="false">+IF($D114&gt;Q$1-1,($G114+Q$1)^2,0)*$C114*IF($F114="Optimization",2,1)</f>
        <v>0</v>
      </c>
      <c r="R114" s="1" t="n">
        <f aca="false">+IF($D114&gt;R$1-1,($G114+R$1)^2,0)*$C114*IF($F114="Optimization",2,1)</f>
        <v>0</v>
      </c>
      <c r="S114" s="1" t="n">
        <f aca="false">+IF($D114&gt;S$1-1,($G114+S$1)^2,0)*$C114*IF($F114="Optimization",2,1)</f>
        <v>0</v>
      </c>
      <c r="T114" s="1" t="n">
        <f aca="false">+IF($D114&gt;T$1-1,($G114+T$1)^2,0)*$C114*IF($F114="Optimization",2,1)</f>
        <v>0</v>
      </c>
      <c r="U114" s="1" t="n">
        <f aca="false">+IF($D114&gt;U$1-1,($G114+U$1)^2,0)*$C114*IF($F114="Optimization",2,1)</f>
        <v>0</v>
      </c>
      <c r="V114" s="1" t="n">
        <f aca="false">+IF($D114&gt;V$1-1,($G114+V$1)^2,0)*$C114*IF($F114="Optimization",2,1)</f>
        <v>0</v>
      </c>
      <c r="W114" s="1" t="n">
        <f aca="false">+IF($D114&gt;W$1-1,($G114+W$1)^2,0)*$C114*IF($F114="Optimization",2,1)</f>
        <v>0</v>
      </c>
      <c r="X114" s="1" t="n">
        <f aca="false">+IF($D114&gt;X$1-1,($G114+X$1)^2,0)*$C114*IF($F114="Optimization",2,1)</f>
        <v>0</v>
      </c>
      <c r="Y114" s="1" t="n">
        <f aca="false">+IF($D114&gt;Y$1-1,($G114+Y$1)^2,0)*$C114*IF($F114="Optimization",2,1)</f>
        <v>0</v>
      </c>
      <c r="Z114" s="1" t="n">
        <f aca="false">+IF($D114&gt;Z$1-1,($G114+Z$1)^2,0)*$C114*IF($F114="Optimization",2,1)</f>
        <v>0</v>
      </c>
    </row>
    <row r="115" customFormat="false" ht="15" hidden="false" customHeight="true" outlineLevel="0" collapsed="false">
      <c r="A115" s="5"/>
      <c r="B115" s="5"/>
      <c r="C115" s="6"/>
      <c r="D115" s="7"/>
      <c r="E115" s="8"/>
      <c r="F115" s="8"/>
      <c r="G115" s="9"/>
      <c r="H115" s="9"/>
      <c r="I115" s="9"/>
      <c r="J115" s="8"/>
      <c r="K115" s="9"/>
      <c r="L115" s="9"/>
      <c r="N115" s="3" t="n">
        <f aca="false">+SUM(O115:Z115)</f>
        <v>0</v>
      </c>
      <c r="O115" s="1" t="n">
        <f aca="false">+IF($D115&gt;O$1-1,($G115+O$1)^2,0)*$C115*IF($F115="Optimization",2,1)</f>
        <v>0</v>
      </c>
      <c r="P115" s="1" t="n">
        <f aca="false">+IF($D115&gt;P$1-1,($G115+P$1)^2,0)*$C115*IF($F115="Optimization",2,1)</f>
        <v>0</v>
      </c>
      <c r="Q115" s="1" t="n">
        <f aca="false">+IF($D115&gt;Q$1-1,($G115+Q$1)^2,0)*$C115*IF($F115="Optimization",2,1)</f>
        <v>0</v>
      </c>
      <c r="R115" s="1" t="n">
        <f aca="false">+IF($D115&gt;R$1-1,($G115+R$1)^2,0)*$C115*IF($F115="Optimization",2,1)</f>
        <v>0</v>
      </c>
      <c r="S115" s="1" t="n">
        <f aca="false">+IF($D115&gt;S$1-1,($G115+S$1)^2,0)*$C115*IF($F115="Optimization",2,1)</f>
        <v>0</v>
      </c>
      <c r="T115" s="1" t="n">
        <f aca="false">+IF($D115&gt;T$1-1,($G115+T$1)^2,0)*$C115*IF($F115="Optimization",2,1)</f>
        <v>0</v>
      </c>
      <c r="U115" s="1" t="n">
        <f aca="false">+IF($D115&gt;U$1-1,($G115+U$1)^2,0)*$C115*IF($F115="Optimization",2,1)</f>
        <v>0</v>
      </c>
      <c r="V115" s="1" t="n">
        <f aca="false">+IF($D115&gt;V$1-1,($G115+V$1)^2,0)*$C115*IF($F115="Optimization",2,1)</f>
        <v>0</v>
      </c>
      <c r="W115" s="1" t="n">
        <f aca="false">+IF($D115&gt;W$1-1,($G115+W$1)^2,0)*$C115*IF($F115="Optimization",2,1)</f>
        <v>0</v>
      </c>
      <c r="X115" s="1" t="n">
        <f aca="false">+IF($D115&gt;X$1-1,($G115+X$1)^2,0)*$C115*IF($F115="Optimization",2,1)</f>
        <v>0</v>
      </c>
      <c r="Y115" s="1" t="n">
        <f aca="false">+IF($D115&gt;Y$1-1,($G115+Y$1)^2,0)*$C115*IF($F115="Optimization",2,1)</f>
        <v>0</v>
      </c>
      <c r="Z115" s="1" t="n">
        <f aca="false">+IF($D115&gt;Z$1-1,($G115+Z$1)^2,0)*$C115*IF($F115="Optimization",2,1)</f>
        <v>0</v>
      </c>
    </row>
    <row r="116" customFormat="false" ht="15" hidden="false" customHeight="true" outlineLevel="0" collapsed="false">
      <c r="A116" s="5"/>
      <c r="B116" s="5"/>
      <c r="C116" s="6"/>
      <c r="D116" s="7"/>
      <c r="E116" s="8"/>
      <c r="F116" s="8"/>
      <c r="G116" s="9"/>
      <c r="H116" s="9"/>
      <c r="I116" s="9"/>
      <c r="J116" s="8"/>
      <c r="K116" s="9"/>
      <c r="L116" s="9"/>
      <c r="N116" s="3" t="n">
        <f aca="false">+SUM(O116:Z116)</f>
        <v>0</v>
      </c>
      <c r="O116" s="1" t="n">
        <f aca="false">+IF($D116&gt;O$1-1,($G116+O$1)^2,0)*$C116*IF($F116="Optimization",2,1)</f>
        <v>0</v>
      </c>
      <c r="P116" s="1" t="n">
        <f aca="false">+IF($D116&gt;P$1-1,($G116+P$1)^2,0)*$C116*IF($F116="Optimization",2,1)</f>
        <v>0</v>
      </c>
      <c r="Q116" s="1" t="n">
        <f aca="false">+IF($D116&gt;Q$1-1,($G116+Q$1)^2,0)*$C116*IF($F116="Optimization",2,1)</f>
        <v>0</v>
      </c>
      <c r="R116" s="1" t="n">
        <f aca="false">+IF($D116&gt;R$1-1,($G116+R$1)^2,0)*$C116*IF($F116="Optimization",2,1)</f>
        <v>0</v>
      </c>
      <c r="S116" s="1" t="n">
        <f aca="false">+IF($D116&gt;S$1-1,($G116+S$1)^2,0)*$C116*IF($F116="Optimization",2,1)</f>
        <v>0</v>
      </c>
      <c r="T116" s="1" t="n">
        <f aca="false">+IF($D116&gt;T$1-1,($G116+T$1)^2,0)*$C116*IF($F116="Optimization",2,1)</f>
        <v>0</v>
      </c>
      <c r="U116" s="1" t="n">
        <f aca="false">+IF($D116&gt;U$1-1,($G116+U$1)^2,0)*$C116*IF($F116="Optimization",2,1)</f>
        <v>0</v>
      </c>
      <c r="V116" s="1" t="n">
        <f aca="false">+IF($D116&gt;V$1-1,($G116+V$1)^2,0)*$C116*IF($F116="Optimization",2,1)</f>
        <v>0</v>
      </c>
      <c r="W116" s="1" t="n">
        <f aca="false">+IF($D116&gt;W$1-1,($G116+W$1)^2,0)*$C116*IF($F116="Optimization",2,1)</f>
        <v>0</v>
      </c>
      <c r="X116" s="1" t="n">
        <f aca="false">+IF($D116&gt;X$1-1,($G116+X$1)^2,0)*$C116*IF($F116="Optimization",2,1)</f>
        <v>0</v>
      </c>
      <c r="Y116" s="1" t="n">
        <f aca="false">+IF($D116&gt;Y$1-1,($G116+Y$1)^2,0)*$C116*IF($F116="Optimization",2,1)</f>
        <v>0</v>
      </c>
      <c r="Z116" s="1" t="n">
        <f aca="false">+IF($D116&gt;Z$1-1,($G116+Z$1)^2,0)*$C116*IF($F116="Optimization",2,1)</f>
        <v>0</v>
      </c>
    </row>
    <row r="117" customFormat="false" ht="15" hidden="false" customHeight="true" outlineLevel="0" collapsed="false">
      <c r="A117" s="5"/>
      <c r="B117" s="5"/>
      <c r="C117" s="6"/>
      <c r="D117" s="7"/>
      <c r="E117" s="8"/>
      <c r="F117" s="8"/>
      <c r="G117" s="9"/>
      <c r="H117" s="9"/>
      <c r="I117" s="9"/>
      <c r="J117" s="8"/>
      <c r="K117" s="9"/>
      <c r="L117" s="9"/>
      <c r="N117" s="3" t="n">
        <f aca="false">+SUM(O117:Z117)</f>
        <v>0</v>
      </c>
      <c r="O117" s="1" t="n">
        <f aca="false">+IF($D117&gt;O$1-1,($G117+O$1)^2,0)*$C117*IF($F117="Optimization",2,1)</f>
        <v>0</v>
      </c>
      <c r="P117" s="1" t="n">
        <f aca="false">+IF($D117&gt;P$1-1,($G117+P$1)^2,0)*$C117*IF($F117="Optimization",2,1)</f>
        <v>0</v>
      </c>
      <c r="Q117" s="1" t="n">
        <f aca="false">+IF($D117&gt;Q$1-1,($G117+Q$1)^2,0)*$C117*IF($F117="Optimization",2,1)</f>
        <v>0</v>
      </c>
      <c r="R117" s="1" t="n">
        <f aca="false">+IF($D117&gt;R$1-1,($G117+R$1)^2,0)*$C117*IF($F117="Optimization",2,1)</f>
        <v>0</v>
      </c>
      <c r="S117" s="1" t="n">
        <f aca="false">+IF($D117&gt;S$1-1,($G117+S$1)^2,0)*$C117*IF($F117="Optimization",2,1)</f>
        <v>0</v>
      </c>
      <c r="T117" s="1" t="n">
        <f aca="false">+IF($D117&gt;T$1-1,($G117+T$1)^2,0)*$C117*IF($F117="Optimization",2,1)</f>
        <v>0</v>
      </c>
      <c r="U117" s="1" t="n">
        <f aca="false">+IF($D117&gt;U$1-1,($G117+U$1)^2,0)*$C117*IF($F117="Optimization",2,1)</f>
        <v>0</v>
      </c>
      <c r="V117" s="1" t="n">
        <f aca="false">+IF($D117&gt;V$1-1,($G117+V$1)^2,0)*$C117*IF($F117="Optimization",2,1)</f>
        <v>0</v>
      </c>
      <c r="W117" s="1" t="n">
        <f aca="false">+IF($D117&gt;W$1-1,($G117+W$1)^2,0)*$C117*IF($F117="Optimization",2,1)</f>
        <v>0</v>
      </c>
      <c r="X117" s="1" t="n">
        <f aca="false">+IF($D117&gt;X$1-1,($G117+X$1)^2,0)*$C117*IF($F117="Optimization",2,1)</f>
        <v>0</v>
      </c>
      <c r="Y117" s="1" t="n">
        <f aca="false">+IF($D117&gt;Y$1-1,($G117+Y$1)^2,0)*$C117*IF($F117="Optimization",2,1)</f>
        <v>0</v>
      </c>
      <c r="Z117" s="1" t="n">
        <f aca="false">+IF($D117&gt;Z$1-1,($G117+Z$1)^2,0)*$C117*IF($F117="Optimization",2,1)</f>
        <v>0</v>
      </c>
    </row>
    <row r="118" customFormat="false" ht="15" hidden="false" customHeight="true" outlineLevel="0" collapsed="false">
      <c r="A118" s="5"/>
      <c r="B118" s="5"/>
      <c r="C118" s="6"/>
      <c r="D118" s="7"/>
      <c r="E118" s="8"/>
      <c r="F118" s="8"/>
      <c r="G118" s="9"/>
      <c r="H118" s="9"/>
      <c r="I118" s="9"/>
      <c r="J118" s="8"/>
      <c r="K118" s="9"/>
      <c r="L118" s="9"/>
      <c r="N118" s="3" t="n">
        <f aca="false">+SUM(O118:Z118)</f>
        <v>0</v>
      </c>
      <c r="O118" s="1" t="n">
        <f aca="false">+IF($D118&gt;O$1-1,($G118+O$1)^2,0)*$C118*IF($F118="Optimization",2,1)</f>
        <v>0</v>
      </c>
      <c r="P118" s="1" t="n">
        <f aca="false">+IF($D118&gt;P$1-1,($G118+P$1)^2,0)*$C118*IF($F118="Optimization",2,1)</f>
        <v>0</v>
      </c>
      <c r="Q118" s="1" t="n">
        <f aca="false">+IF($D118&gt;Q$1-1,($G118+Q$1)^2,0)*$C118*IF($F118="Optimization",2,1)</f>
        <v>0</v>
      </c>
      <c r="R118" s="1" t="n">
        <f aca="false">+IF($D118&gt;R$1-1,($G118+R$1)^2,0)*$C118*IF($F118="Optimization",2,1)</f>
        <v>0</v>
      </c>
      <c r="S118" s="1" t="n">
        <f aca="false">+IF($D118&gt;S$1-1,($G118+S$1)^2,0)*$C118*IF($F118="Optimization",2,1)</f>
        <v>0</v>
      </c>
      <c r="T118" s="1" t="n">
        <f aca="false">+IF($D118&gt;T$1-1,($G118+T$1)^2,0)*$C118*IF($F118="Optimization",2,1)</f>
        <v>0</v>
      </c>
      <c r="U118" s="1" t="n">
        <f aca="false">+IF($D118&gt;U$1-1,($G118+U$1)^2,0)*$C118*IF($F118="Optimization",2,1)</f>
        <v>0</v>
      </c>
      <c r="V118" s="1" t="n">
        <f aca="false">+IF($D118&gt;V$1-1,($G118+V$1)^2,0)*$C118*IF($F118="Optimization",2,1)</f>
        <v>0</v>
      </c>
      <c r="W118" s="1" t="n">
        <f aca="false">+IF($D118&gt;W$1-1,($G118+W$1)^2,0)*$C118*IF($F118="Optimization",2,1)</f>
        <v>0</v>
      </c>
      <c r="X118" s="1" t="n">
        <f aca="false">+IF($D118&gt;X$1-1,($G118+X$1)^2,0)*$C118*IF($F118="Optimization",2,1)</f>
        <v>0</v>
      </c>
      <c r="Y118" s="1" t="n">
        <f aca="false">+IF($D118&gt;Y$1-1,($G118+Y$1)^2,0)*$C118*IF($F118="Optimization",2,1)</f>
        <v>0</v>
      </c>
      <c r="Z118" s="1" t="n">
        <f aca="false">+IF($D118&gt;Z$1-1,($G118+Z$1)^2,0)*$C118*IF($F118="Optimization",2,1)</f>
        <v>0</v>
      </c>
    </row>
    <row r="119" customFormat="false" ht="15" hidden="false" customHeight="true" outlineLevel="0" collapsed="false">
      <c r="A119" s="5"/>
      <c r="B119" s="5"/>
      <c r="C119" s="6"/>
      <c r="D119" s="7"/>
      <c r="E119" s="8"/>
      <c r="F119" s="8"/>
      <c r="G119" s="9"/>
      <c r="H119" s="9"/>
      <c r="I119" s="9"/>
      <c r="J119" s="8"/>
      <c r="K119" s="9"/>
      <c r="L119" s="9"/>
      <c r="N119" s="3" t="n">
        <f aca="false">+SUM(O119:Z119)</f>
        <v>0</v>
      </c>
      <c r="O119" s="1" t="n">
        <f aca="false">+IF($D119&gt;O$1-1,($G119+O$1)^2,0)*$C119*IF($F119="Optimization",2,1)</f>
        <v>0</v>
      </c>
      <c r="P119" s="1" t="n">
        <f aca="false">+IF($D119&gt;P$1-1,($G119+P$1)^2,0)*$C119*IF($F119="Optimization",2,1)</f>
        <v>0</v>
      </c>
      <c r="Q119" s="1" t="n">
        <f aca="false">+IF($D119&gt;Q$1-1,($G119+Q$1)^2,0)*$C119*IF($F119="Optimization",2,1)</f>
        <v>0</v>
      </c>
      <c r="R119" s="1" t="n">
        <f aca="false">+IF($D119&gt;R$1-1,($G119+R$1)^2,0)*$C119*IF($F119="Optimization",2,1)</f>
        <v>0</v>
      </c>
      <c r="S119" s="1" t="n">
        <f aca="false">+IF($D119&gt;S$1-1,($G119+S$1)^2,0)*$C119*IF($F119="Optimization",2,1)</f>
        <v>0</v>
      </c>
      <c r="T119" s="1" t="n">
        <f aca="false">+IF($D119&gt;T$1-1,($G119+T$1)^2,0)*$C119*IF($F119="Optimization",2,1)</f>
        <v>0</v>
      </c>
      <c r="U119" s="1" t="n">
        <f aca="false">+IF($D119&gt;U$1-1,($G119+U$1)^2,0)*$C119*IF($F119="Optimization",2,1)</f>
        <v>0</v>
      </c>
      <c r="V119" s="1" t="n">
        <f aca="false">+IF($D119&gt;V$1-1,($G119+V$1)^2,0)*$C119*IF($F119="Optimization",2,1)</f>
        <v>0</v>
      </c>
      <c r="W119" s="1" t="n">
        <f aca="false">+IF($D119&gt;W$1-1,($G119+W$1)^2,0)*$C119*IF($F119="Optimization",2,1)</f>
        <v>0</v>
      </c>
      <c r="X119" s="1" t="n">
        <f aca="false">+IF($D119&gt;X$1-1,($G119+X$1)^2,0)*$C119*IF($F119="Optimization",2,1)</f>
        <v>0</v>
      </c>
      <c r="Y119" s="1" t="n">
        <f aca="false">+IF($D119&gt;Y$1-1,($G119+Y$1)^2,0)*$C119*IF($F119="Optimization",2,1)</f>
        <v>0</v>
      </c>
      <c r="Z119" s="1" t="n">
        <f aca="false">+IF($D119&gt;Z$1-1,($G119+Z$1)^2,0)*$C119*IF($F119="Optimization",2,1)</f>
        <v>0</v>
      </c>
    </row>
    <row r="120" customFormat="false" ht="15" hidden="false" customHeight="true" outlineLevel="0" collapsed="false">
      <c r="A120" s="5"/>
      <c r="B120" s="5"/>
      <c r="C120" s="6"/>
      <c r="D120" s="7"/>
      <c r="E120" s="8"/>
      <c r="F120" s="8"/>
      <c r="G120" s="9"/>
      <c r="H120" s="9"/>
      <c r="I120" s="9"/>
      <c r="J120" s="8"/>
      <c r="K120" s="9"/>
      <c r="L120" s="9"/>
      <c r="N120" s="3" t="n">
        <f aca="false">+SUM(O120:Z120)</f>
        <v>0</v>
      </c>
      <c r="O120" s="1" t="n">
        <f aca="false">+IF($D120&gt;O$1-1,($G120+O$1)^2,0)*$C120*IF($F120="Optimization",2,1)</f>
        <v>0</v>
      </c>
      <c r="P120" s="1" t="n">
        <f aca="false">+IF($D120&gt;P$1-1,($G120+P$1)^2,0)*$C120*IF($F120="Optimization",2,1)</f>
        <v>0</v>
      </c>
      <c r="Q120" s="1" t="n">
        <f aca="false">+IF($D120&gt;Q$1-1,($G120+Q$1)^2,0)*$C120*IF($F120="Optimization",2,1)</f>
        <v>0</v>
      </c>
      <c r="R120" s="1" t="n">
        <f aca="false">+IF($D120&gt;R$1-1,($G120+R$1)^2,0)*$C120*IF($F120="Optimization",2,1)</f>
        <v>0</v>
      </c>
      <c r="S120" s="1" t="n">
        <f aca="false">+IF($D120&gt;S$1-1,($G120+S$1)^2,0)*$C120*IF($F120="Optimization",2,1)</f>
        <v>0</v>
      </c>
      <c r="T120" s="1" t="n">
        <f aca="false">+IF($D120&gt;T$1-1,($G120+T$1)^2,0)*$C120*IF($F120="Optimization",2,1)</f>
        <v>0</v>
      </c>
      <c r="U120" s="1" t="n">
        <f aca="false">+IF($D120&gt;U$1-1,($G120+U$1)^2,0)*$C120*IF($F120="Optimization",2,1)</f>
        <v>0</v>
      </c>
      <c r="V120" s="1" t="n">
        <f aca="false">+IF($D120&gt;V$1-1,($G120+V$1)^2,0)*$C120*IF($F120="Optimization",2,1)</f>
        <v>0</v>
      </c>
      <c r="W120" s="1" t="n">
        <f aca="false">+IF($D120&gt;W$1-1,($G120+W$1)^2,0)*$C120*IF($F120="Optimization",2,1)</f>
        <v>0</v>
      </c>
      <c r="X120" s="1" t="n">
        <f aca="false">+IF($D120&gt;X$1-1,($G120+X$1)^2,0)*$C120*IF($F120="Optimization",2,1)</f>
        <v>0</v>
      </c>
      <c r="Y120" s="1" t="n">
        <f aca="false">+IF($D120&gt;Y$1-1,($G120+Y$1)^2,0)*$C120*IF($F120="Optimization",2,1)</f>
        <v>0</v>
      </c>
      <c r="Z120" s="1" t="n">
        <f aca="false">+IF($D120&gt;Z$1-1,($G120+Z$1)^2,0)*$C120*IF($F120="Optimization",2,1)</f>
        <v>0</v>
      </c>
    </row>
    <row r="121" customFormat="false" ht="15" hidden="false" customHeight="true" outlineLevel="0" collapsed="false">
      <c r="A121" s="5"/>
      <c r="B121" s="5"/>
      <c r="C121" s="6"/>
      <c r="D121" s="7"/>
      <c r="E121" s="8"/>
      <c r="F121" s="8"/>
      <c r="G121" s="9"/>
      <c r="H121" s="9"/>
      <c r="I121" s="9"/>
      <c r="J121" s="8"/>
      <c r="K121" s="9"/>
      <c r="L121" s="9"/>
      <c r="N121" s="3" t="n">
        <f aca="false">+SUM(O121:Z121)</f>
        <v>0</v>
      </c>
      <c r="O121" s="1" t="n">
        <f aca="false">+IF($D121&gt;O$1-1,($G121+O$1)^2,0)*$C121*IF($F121="Optimization",2,1)</f>
        <v>0</v>
      </c>
      <c r="P121" s="1" t="n">
        <f aca="false">+IF($D121&gt;P$1-1,($G121+P$1)^2,0)*$C121*IF($F121="Optimization",2,1)</f>
        <v>0</v>
      </c>
      <c r="Q121" s="1" t="n">
        <f aca="false">+IF($D121&gt;Q$1-1,($G121+Q$1)^2,0)*$C121*IF($F121="Optimization",2,1)</f>
        <v>0</v>
      </c>
      <c r="R121" s="1" t="n">
        <f aca="false">+IF($D121&gt;R$1-1,($G121+R$1)^2,0)*$C121*IF($F121="Optimization",2,1)</f>
        <v>0</v>
      </c>
      <c r="S121" s="1" t="n">
        <f aca="false">+IF($D121&gt;S$1-1,($G121+S$1)^2,0)*$C121*IF($F121="Optimization",2,1)</f>
        <v>0</v>
      </c>
      <c r="T121" s="1" t="n">
        <f aca="false">+IF($D121&gt;T$1-1,($G121+T$1)^2,0)*$C121*IF($F121="Optimization",2,1)</f>
        <v>0</v>
      </c>
      <c r="U121" s="1" t="n">
        <f aca="false">+IF($D121&gt;U$1-1,($G121+U$1)^2,0)*$C121*IF($F121="Optimization",2,1)</f>
        <v>0</v>
      </c>
      <c r="V121" s="1" t="n">
        <f aca="false">+IF($D121&gt;V$1-1,($G121+V$1)^2,0)*$C121*IF($F121="Optimization",2,1)</f>
        <v>0</v>
      </c>
      <c r="W121" s="1" t="n">
        <f aca="false">+IF($D121&gt;W$1-1,($G121+W$1)^2,0)*$C121*IF($F121="Optimization",2,1)</f>
        <v>0</v>
      </c>
      <c r="X121" s="1" t="n">
        <f aca="false">+IF($D121&gt;X$1-1,($G121+X$1)^2,0)*$C121*IF($F121="Optimization",2,1)</f>
        <v>0</v>
      </c>
      <c r="Y121" s="1" t="n">
        <f aca="false">+IF($D121&gt;Y$1-1,($G121+Y$1)^2,0)*$C121*IF($F121="Optimization",2,1)</f>
        <v>0</v>
      </c>
      <c r="Z121" s="1" t="n">
        <f aca="false">+IF($D121&gt;Z$1-1,($G121+Z$1)^2,0)*$C121*IF($F121="Optimization",2,1)</f>
        <v>0</v>
      </c>
    </row>
    <row r="122" customFormat="false" ht="15" hidden="false" customHeight="true" outlineLevel="0" collapsed="false">
      <c r="A122" s="5"/>
      <c r="B122" s="5"/>
      <c r="C122" s="6"/>
      <c r="D122" s="7"/>
      <c r="E122" s="8"/>
      <c r="F122" s="8"/>
      <c r="G122" s="9"/>
      <c r="H122" s="9"/>
      <c r="I122" s="9"/>
      <c r="J122" s="8"/>
      <c r="K122" s="9"/>
      <c r="L122" s="9"/>
      <c r="N122" s="3" t="n">
        <f aca="false">+SUM(O122:Z122)</f>
        <v>0</v>
      </c>
      <c r="O122" s="1" t="n">
        <f aca="false">+IF($D122&gt;O$1-1,($G122+O$1)^2,0)*$C122*IF($F122="Optimization",2,1)</f>
        <v>0</v>
      </c>
      <c r="P122" s="1" t="n">
        <f aca="false">+IF($D122&gt;P$1-1,($G122+P$1)^2,0)*$C122*IF($F122="Optimization",2,1)</f>
        <v>0</v>
      </c>
      <c r="Q122" s="1" t="n">
        <f aca="false">+IF($D122&gt;Q$1-1,($G122+Q$1)^2,0)*$C122*IF($F122="Optimization",2,1)</f>
        <v>0</v>
      </c>
      <c r="R122" s="1" t="n">
        <f aca="false">+IF($D122&gt;R$1-1,($G122+R$1)^2,0)*$C122*IF($F122="Optimization",2,1)</f>
        <v>0</v>
      </c>
      <c r="S122" s="1" t="n">
        <f aca="false">+IF($D122&gt;S$1-1,($G122+S$1)^2,0)*$C122*IF($F122="Optimization",2,1)</f>
        <v>0</v>
      </c>
      <c r="T122" s="1" t="n">
        <f aca="false">+IF($D122&gt;T$1-1,($G122+T$1)^2,0)*$C122*IF($F122="Optimization",2,1)</f>
        <v>0</v>
      </c>
      <c r="U122" s="1" t="n">
        <f aca="false">+IF($D122&gt;U$1-1,($G122+U$1)^2,0)*$C122*IF($F122="Optimization",2,1)</f>
        <v>0</v>
      </c>
      <c r="V122" s="1" t="n">
        <f aca="false">+IF($D122&gt;V$1-1,($G122+V$1)^2,0)*$C122*IF($F122="Optimization",2,1)</f>
        <v>0</v>
      </c>
      <c r="W122" s="1" t="n">
        <f aca="false">+IF($D122&gt;W$1-1,($G122+W$1)^2,0)*$C122*IF($F122="Optimization",2,1)</f>
        <v>0</v>
      </c>
      <c r="X122" s="1" t="n">
        <f aca="false">+IF($D122&gt;X$1-1,($G122+X$1)^2,0)*$C122*IF($F122="Optimization",2,1)</f>
        <v>0</v>
      </c>
      <c r="Y122" s="1" t="n">
        <f aca="false">+IF($D122&gt;Y$1-1,($G122+Y$1)^2,0)*$C122*IF($F122="Optimization",2,1)</f>
        <v>0</v>
      </c>
      <c r="Z122" s="1" t="n">
        <f aca="false">+IF($D122&gt;Z$1-1,($G122+Z$1)^2,0)*$C122*IF($F122="Optimization",2,1)</f>
        <v>0</v>
      </c>
    </row>
    <row r="123" customFormat="false" ht="15" hidden="false" customHeight="true" outlineLevel="0" collapsed="false">
      <c r="A123" s="5"/>
      <c r="B123" s="5"/>
      <c r="C123" s="6"/>
      <c r="D123" s="7"/>
      <c r="E123" s="8"/>
      <c r="F123" s="8"/>
      <c r="G123" s="9"/>
      <c r="H123" s="9"/>
      <c r="I123" s="9"/>
      <c r="J123" s="8"/>
      <c r="K123" s="9"/>
      <c r="L123" s="9"/>
    </row>
    <row r="124" customFormat="false" ht="15" hidden="false" customHeight="true" outlineLevel="0" collapsed="false">
      <c r="A124" s="5"/>
      <c r="B124" s="5"/>
      <c r="C124" s="6"/>
      <c r="D124" s="7"/>
      <c r="E124" s="8"/>
      <c r="F124" s="8"/>
      <c r="G124" s="9"/>
      <c r="H124" s="9"/>
      <c r="I124" s="9"/>
      <c r="J124" s="8"/>
      <c r="K124" s="9"/>
      <c r="L124" s="9"/>
    </row>
    <row r="125" customFormat="false" ht="15" hidden="false" customHeight="true" outlineLevel="0" collapsed="false">
      <c r="A125" s="5"/>
      <c r="B125" s="5"/>
      <c r="C125" s="6"/>
      <c r="D125" s="7"/>
      <c r="E125" s="8"/>
      <c r="F125" s="8"/>
      <c r="G125" s="9"/>
      <c r="H125" s="9"/>
      <c r="I125" s="9"/>
      <c r="J125" s="8"/>
      <c r="K125" s="9"/>
      <c r="L125" s="9"/>
    </row>
    <row r="126" customFormat="false" ht="15" hidden="false" customHeight="true" outlineLevel="0" collapsed="false">
      <c r="A126" s="5"/>
      <c r="B126" s="5"/>
      <c r="C126" s="6"/>
      <c r="D126" s="7"/>
      <c r="E126" s="8"/>
      <c r="F126" s="8"/>
      <c r="G126" s="9"/>
      <c r="H126" s="9"/>
      <c r="I126" s="9"/>
      <c r="J126" s="8"/>
      <c r="K126" s="9"/>
      <c r="L126" s="9"/>
    </row>
    <row r="127" customFormat="false" ht="15" hidden="false" customHeight="true" outlineLevel="0" collapsed="false">
      <c r="A127" s="5"/>
      <c r="B127" s="5"/>
      <c r="C127" s="6"/>
      <c r="D127" s="7"/>
      <c r="E127" s="8"/>
      <c r="F127" s="8"/>
      <c r="G127" s="9"/>
      <c r="H127" s="9"/>
      <c r="I127" s="9"/>
      <c r="J127" s="8"/>
      <c r="K127" s="9"/>
      <c r="L127" s="9"/>
    </row>
    <row r="128" customFormat="false" ht="15" hidden="false" customHeight="true" outlineLevel="0" collapsed="false">
      <c r="A128" s="5"/>
      <c r="B128" s="5"/>
      <c r="C128" s="6"/>
      <c r="D128" s="7"/>
      <c r="E128" s="8"/>
      <c r="F128" s="8"/>
      <c r="G128" s="9"/>
      <c r="H128" s="9"/>
      <c r="I128" s="9"/>
      <c r="J128" s="8"/>
      <c r="K128" s="9"/>
      <c r="L128" s="9"/>
    </row>
    <row r="129" customFormat="false" ht="15" hidden="false" customHeight="true" outlineLevel="0" collapsed="false">
      <c r="A129" s="5"/>
      <c r="B129" s="5"/>
      <c r="C129" s="6"/>
      <c r="D129" s="7"/>
      <c r="E129" s="8"/>
      <c r="F129" s="8"/>
      <c r="G129" s="9"/>
      <c r="H129" s="9"/>
      <c r="I129" s="9"/>
      <c r="J129" s="8"/>
      <c r="K129" s="9"/>
      <c r="L129" s="9"/>
    </row>
    <row r="130" customFormat="false" ht="15" hidden="false" customHeight="true" outlineLevel="0" collapsed="false">
      <c r="A130" s="5"/>
      <c r="B130" s="5"/>
      <c r="C130" s="6"/>
      <c r="D130" s="7"/>
      <c r="E130" s="8"/>
      <c r="F130" s="8"/>
      <c r="G130" s="9"/>
      <c r="H130" s="9"/>
      <c r="I130" s="9"/>
      <c r="J130" s="8"/>
      <c r="K130" s="9"/>
      <c r="L130" s="9"/>
    </row>
    <row r="131" customFormat="false" ht="15" hidden="false" customHeight="true" outlineLevel="0" collapsed="false">
      <c r="A131" s="5"/>
      <c r="B131" s="5"/>
      <c r="C131" s="6"/>
      <c r="D131" s="7"/>
      <c r="E131" s="8"/>
      <c r="F131" s="8"/>
      <c r="G131" s="9"/>
      <c r="H131" s="9"/>
      <c r="I131" s="9"/>
      <c r="J131" s="8"/>
      <c r="K131" s="9"/>
      <c r="L131" s="9"/>
    </row>
    <row r="132" customFormat="false" ht="15" hidden="false" customHeight="true" outlineLevel="0" collapsed="false">
      <c r="A132" s="5"/>
      <c r="B132" s="5"/>
      <c r="C132" s="6"/>
      <c r="D132" s="7"/>
      <c r="E132" s="8"/>
      <c r="F132" s="8"/>
      <c r="G132" s="9"/>
      <c r="H132" s="9"/>
      <c r="I132" s="9"/>
      <c r="J132" s="8"/>
      <c r="K132" s="9"/>
      <c r="L132" s="9"/>
    </row>
    <row r="133" customFormat="false" ht="15" hidden="false" customHeight="true" outlineLevel="0" collapsed="false">
      <c r="A133" s="5"/>
      <c r="B133" s="5"/>
      <c r="C133" s="6"/>
      <c r="D133" s="7"/>
      <c r="E133" s="8"/>
      <c r="F133" s="8"/>
      <c r="G133" s="9"/>
      <c r="H133" s="9"/>
      <c r="I133" s="9"/>
      <c r="J133" s="8"/>
      <c r="K133" s="9"/>
      <c r="L133" s="9"/>
    </row>
    <row r="134" customFormat="false" ht="15" hidden="false" customHeight="true" outlineLevel="0" collapsed="false">
      <c r="A134" s="5"/>
      <c r="B134" s="5"/>
      <c r="C134" s="6"/>
      <c r="D134" s="7"/>
      <c r="E134" s="8"/>
      <c r="F134" s="8"/>
      <c r="G134" s="9"/>
      <c r="H134" s="9"/>
      <c r="I134" s="9"/>
      <c r="J134" s="8"/>
      <c r="K134" s="9"/>
      <c r="L134" s="9"/>
    </row>
    <row r="135" customFormat="false" ht="15" hidden="false" customHeight="true" outlineLevel="0" collapsed="false">
      <c r="A135" s="5"/>
      <c r="B135" s="5"/>
      <c r="C135" s="6"/>
      <c r="D135" s="7"/>
      <c r="E135" s="8"/>
      <c r="F135" s="8"/>
      <c r="G135" s="9"/>
      <c r="H135" s="9"/>
      <c r="I135" s="9"/>
      <c r="J135" s="8"/>
      <c r="K135" s="9"/>
      <c r="L135" s="9"/>
    </row>
    <row r="136" customFormat="false" ht="15" hidden="false" customHeight="true" outlineLevel="0" collapsed="false">
      <c r="A136" s="5"/>
      <c r="B136" s="5"/>
      <c r="C136" s="6"/>
      <c r="D136" s="7"/>
      <c r="E136" s="8"/>
      <c r="F136" s="8"/>
      <c r="G136" s="9"/>
      <c r="H136" s="9"/>
      <c r="I136" s="9"/>
      <c r="J136" s="8"/>
      <c r="K136" s="9"/>
      <c r="L136" s="9"/>
    </row>
    <row r="137" customFormat="false" ht="15" hidden="false" customHeight="true" outlineLevel="0" collapsed="false">
      <c r="A137" s="5"/>
      <c r="B137" s="5"/>
      <c r="C137" s="6"/>
      <c r="D137" s="7"/>
      <c r="E137" s="8"/>
      <c r="F137" s="8"/>
      <c r="G137" s="9"/>
      <c r="H137" s="9"/>
      <c r="I137" s="9"/>
      <c r="J137" s="8"/>
      <c r="K137" s="9"/>
      <c r="L137" s="9"/>
    </row>
    <row r="138" customFormat="false" ht="15" hidden="false" customHeight="true" outlineLevel="0" collapsed="false">
      <c r="A138" s="5"/>
      <c r="B138" s="5"/>
      <c r="C138" s="6"/>
      <c r="D138" s="7"/>
      <c r="E138" s="8"/>
      <c r="F138" s="8"/>
      <c r="G138" s="9"/>
      <c r="H138" s="9"/>
      <c r="I138" s="9"/>
      <c r="J138" s="8"/>
      <c r="K138" s="9"/>
      <c r="L138" s="9"/>
    </row>
    <row r="139" customFormat="false" ht="15" hidden="false" customHeight="true" outlineLevel="0" collapsed="false">
      <c r="A139" s="5"/>
      <c r="B139" s="5"/>
      <c r="C139" s="6"/>
      <c r="D139" s="7"/>
      <c r="E139" s="8"/>
      <c r="F139" s="8"/>
      <c r="G139" s="9"/>
      <c r="H139" s="9"/>
      <c r="I139" s="9"/>
      <c r="J139" s="8"/>
      <c r="K139" s="9"/>
      <c r="L139" s="9"/>
    </row>
    <row r="140" customFormat="false" ht="15" hidden="false" customHeight="true" outlineLevel="0" collapsed="false">
      <c r="A140" s="5"/>
      <c r="B140" s="5"/>
      <c r="C140" s="6"/>
      <c r="D140" s="7"/>
      <c r="E140" s="8"/>
      <c r="F140" s="8"/>
      <c r="G140" s="9"/>
      <c r="H140" s="9"/>
      <c r="I140" s="9"/>
      <c r="J140" s="8"/>
      <c r="K140" s="9"/>
      <c r="L140" s="9"/>
    </row>
    <row r="141" customFormat="false" ht="15" hidden="false" customHeight="true" outlineLevel="0" collapsed="false">
      <c r="A141" s="5"/>
      <c r="B141" s="5"/>
      <c r="C141" s="6"/>
      <c r="D141" s="7"/>
      <c r="E141" s="8"/>
      <c r="F141" s="8"/>
      <c r="G141" s="9"/>
      <c r="H141" s="9"/>
      <c r="I141" s="9"/>
      <c r="J141" s="8"/>
      <c r="K141" s="9"/>
      <c r="L141" s="9"/>
    </row>
    <row r="142" customFormat="false" ht="15" hidden="false" customHeight="true" outlineLevel="0" collapsed="false">
      <c r="A142" s="5"/>
      <c r="B142" s="5"/>
      <c r="C142" s="6"/>
      <c r="D142" s="7"/>
      <c r="E142" s="8"/>
      <c r="F142" s="8"/>
      <c r="G142" s="9"/>
      <c r="H142" s="9"/>
      <c r="I142" s="9"/>
      <c r="J142" s="8"/>
      <c r="K142" s="9"/>
      <c r="L142" s="9"/>
    </row>
    <row r="143" customFormat="false" ht="15" hidden="false" customHeight="true" outlineLevel="0" collapsed="false">
      <c r="A143" s="5"/>
      <c r="B143" s="5"/>
      <c r="C143" s="6"/>
      <c r="D143" s="7"/>
      <c r="E143" s="8"/>
      <c r="F143" s="8"/>
      <c r="G143" s="9"/>
      <c r="H143" s="9"/>
      <c r="I143" s="9"/>
      <c r="J143" s="8"/>
      <c r="K143" s="9"/>
      <c r="L143" s="9"/>
    </row>
    <row r="144" customFormat="false" ht="15" hidden="false" customHeight="true" outlineLevel="0" collapsed="false">
      <c r="A144" s="5"/>
      <c r="B144" s="5"/>
      <c r="C144" s="6"/>
      <c r="D144" s="7"/>
      <c r="E144" s="8"/>
      <c r="F144" s="8"/>
      <c r="G144" s="9"/>
      <c r="H144" s="9"/>
      <c r="I144" s="9"/>
      <c r="J144" s="8"/>
      <c r="K144" s="9"/>
      <c r="L144" s="9"/>
    </row>
    <row r="145" customFormat="false" ht="15" hidden="false" customHeight="true" outlineLevel="0" collapsed="false">
      <c r="A145" s="5"/>
      <c r="B145" s="5"/>
      <c r="C145" s="6"/>
      <c r="D145" s="7"/>
      <c r="E145" s="8"/>
      <c r="F145" s="8"/>
      <c r="G145" s="9"/>
      <c r="H145" s="9"/>
      <c r="I145" s="9"/>
      <c r="J145" s="8"/>
      <c r="K145" s="9"/>
      <c r="L145" s="9"/>
    </row>
    <row r="146" customFormat="false" ht="15" hidden="false" customHeight="true" outlineLevel="0" collapsed="false">
      <c r="A146" s="5"/>
      <c r="B146" s="5"/>
      <c r="C146" s="6"/>
      <c r="D146" s="7"/>
      <c r="E146" s="8"/>
      <c r="F146" s="8"/>
      <c r="G146" s="9"/>
      <c r="H146" s="9"/>
      <c r="I146" s="9"/>
      <c r="J146" s="8"/>
      <c r="K146" s="9"/>
      <c r="L146" s="9"/>
    </row>
    <row r="147" customFormat="false" ht="15" hidden="false" customHeight="true" outlineLevel="0" collapsed="false">
      <c r="A147" s="5"/>
      <c r="B147" s="5"/>
      <c r="C147" s="6"/>
      <c r="D147" s="7"/>
      <c r="E147" s="8"/>
      <c r="F147" s="8"/>
      <c r="G147" s="9"/>
      <c r="H147" s="9"/>
      <c r="I147" s="9"/>
      <c r="J147" s="8"/>
      <c r="K147" s="9"/>
      <c r="L147" s="9"/>
    </row>
    <row r="148" customFormat="false" ht="15" hidden="false" customHeight="true" outlineLevel="0" collapsed="false">
      <c r="A148" s="5"/>
      <c r="B148" s="5"/>
      <c r="C148" s="6"/>
      <c r="D148" s="7"/>
      <c r="E148" s="8"/>
      <c r="F148" s="8"/>
      <c r="G148" s="9"/>
      <c r="H148" s="9"/>
      <c r="I148" s="9"/>
      <c r="J148" s="8"/>
      <c r="K148" s="9"/>
      <c r="L148" s="9"/>
    </row>
    <row r="149" customFormat="false" ht="15" hidden="false" customHeight="true" outlineLevel="0" collapsed="false">
      <c r="A149" s="5"/>
      <c r="B149" s="5"/>
      <c r="C149" s="6"/>
      <c r="D149" s="7"/>
      <c r="E149" s="8"/>
      <c r="F149" s="8"/>
      <c r="G149" s="9"/>
      <c r="H149" s="9"/>
      <c r="I149" s="9"/>
      <c r="J149" s="8"/>
      <c r="K149" s="9"/>
      <c r="L149" s="9"/>
    </row>
    <row r="150" customFormat="false" ht="15" hidden="false" customHeight="true" outlineLevel="0" collapsed="false">
      <c r="A150" s="5"/>
      <c r="B150" s="5"/>
      <c r="C150" s="6"/>
      <c r="D150" s="7"/>
      <c r="E150" s="8"/>
      <c r="F150" s="8"/>
      <c r="G150" s="9"/>
      <c r="H150" s="9"/>
      <c r="I150" s="9"/>
      <c r="J150" s="8"/>
      <c r="K150" s="9"/>
      <c r="L150" s="9"/>
    </row>
    <row r="151" customFormat="false" ht="15" hidden="false" customHeight="true" outlineLevel="0" collapsed="false">
      <c r="A151" s="5"/>
      <c r="B151" s="5"/>
      <c r="C151" s="6"/>
      <c r="D151" s="7"/>
      <c r="E151" s="8"/>
      <c r="F151" s="8"/>
      <c r="G151" s="9"/>
      <c r="H151" s="9"/>
      <c r="I151" s="9"/>
      <c r="J151" s="8"/>
      <c r="K151" s="9"/>
      <c r="L151" s="9"/>
    </row>
  </sheetData>
  <autoFilter ref="A1:L151"/>
  <dataValidations count="4">
    <dataValidation allowBlank="true" errorStyle="stop" operator="between" showDropDown="false" showErrorMessage="false" showInputMessage="false" sqref="E2:F12 F13:F83 E15:E16 E19:E83 E84:F151" type="list">
      <formula1>",Adaptive,Area,Bug-Ridden,Chaser,Crashguard,DINAB,Limit,Noise,One-Shot,Optimization,Penetration,Selective,Sensitive,Sneak,Squeeze,Stealth,Targeting,Armor,Cascading IC,Expert Defense,Expert Offense,Party Cluster,Shield,Shift,Trap,Self-Coder"</formula1>
      <formula2>0</formula2>
    </dataValidation>
    <dataValidation allowBlank="false" errorStyle="stop" operator="between" showDropDown="false" showErrorMessage="false" showInputMessage="false" sqref="J2:J151" type="list">
      <formula1>"TRUE,FALSE"</formula1>
      <formula2>0</formula2>
    </dataValidation>
    <dataValidation allowBlank="false" errorStyle="stop" operator="between" showDropDown="false" showErrorMessage="false" showInputMessage="false" sqref="D2:D151" type="whole">
      <formula1>0</formula1>
      <formula2>99</formula2>
    </dataValidation>
    <dataValidation allowBlank="true" errorStyle="stop" operator="between" showDropDown="false" showErrorMessage="false" showInputMessage="false" sqref="E13:E14 E17:E18" type="list">
      <formula1>",Adaptive,Area,Bug-Ridden,Chaser,Crashguard,DINAB,Limit,Noise,One-Shot,Optimization,Penetration,Selective,Sensitive,Sneak,Squeeze,Stealth,Targeting,Armor,Cascading IC,Expert Defense,Expert Offense,Party Cluster,Shield,Shift,Trap,Self-Coder"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2" activeCellId="1" sqref="AC2:AC83 B2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34"/>
    <col collapsed="false" customWidth="true" hidden="false" outlineLevel="0" max="9" min="8" style="1" width="16"/>
    <col collapsed="false" customWidth="true" hidden="false" outlineLevel="0" max="10" min="10" style="1" width="20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29"/>
    <col collapsed="false" customWidth="true" hidden="false" outlineLevel="0" max="14" min="14" style="1" width="34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74</v>
      </c>
      <c r="G1" s="2" t="s">
        <v>75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76</v>
      </c>
    </row>
    <row r="2" customFormat="false" ht="15" hidden="false" customHeight="false" outlineLevel="0" collapsed="false">
      <c r="A2" s="5" t="s">
        <v>12</v>
      </c>
      <c r="B2" s="5" t="s">
        <v>13</v>
      </c>
      <c r="C2" s="6" t="n">
        <v>3</v>
      </c>
      <c r="D2" s="7" t="n">
        <v>6</v>
      </c>
      <c r="E2" s="8"/>
      <c r="F2" s="7"/>
      <c r="G2" s="10" t="str">
        <f aca="false">IF(E2="","None",IF(E2="Adaptive","+2",IF(E2="Area","+Area Rating",IF(E2="Chaser","+1",IF(E2="Crashguard","+Crashguard Rating",IF(E2="DINAB","+ROUNDUP(DINAB Rating/2)",IF(E2="Limit","-1",IF(E2="Noise","-Noise Rating",IF(E2="Penetration","+1",IF(E2="Selective","+1",IF(E2="Sneak","+(2×Sneak Rating)",IF(E2="Squeeze","+1",IF(E2="Stealth","+Stealth Rating",IF(E2="Targeting","+2",IF(E2="Armor","+2",IF(E2="Cascading IC","+3",IF(E2="Expert Defense","+1",IF(E2="Expert Offense","+1",IF(E2="Party Cluster","+3",IF(E2="Shield","+2",IF(E2="Shift","+2",IF(E2="Trap","+1 per linked IC",IF(E2="Self-Coder","+Self-Coder Rating","0")))))))))))))))))))))))</f>
        <v>None</v>
      </c>
      <c r="H2" s="9" t="n">
        <f aca="false">IF(E2="",0,IF(E2="Adaptive",2,IF(E2="Area",N(F2),IF(E2="Chaser",1,IF(E2="Crashguard",N(F2),IF(E2="DINAB",ROUNDUP(N(F2)/2,0),IF(E2="Limit",-1,IF(E2="Noise",-N(F2),IF(E2="Penetration",1,IF(E2="Selective",1,IF(E2="Sneak",2*N(F2),IF(E2="Squeeze",1,IF(E2="Stealth",N(F2),IF(E2="Targeting",2,IF(E2="Armor",2,IF(E2="Cascading IC",3,IF(E2="Expert Defense",1,IF(E2="Expert Offense",1,IF(E2="Party Cluster",3,IF(E2="Shield",2,IF(E2="Shift",2,IF(E2="Trap",N(F2),IF(E2="Self-Coder",N(F2),0)))))))))))))))))))))))</f>
        <v>0</v>
      </c>
      <c r="I2" s="9" t="n">
        <f aca="false">MAX(0,D2+H2)</f>
        <v>6</v>
      </c>
      <c r="J2" s="9" t="n">
        <f aca="false">IF(OR(C2="",I2=""),"",ROUNDUP(C2*I2^2/2,0))</f>
        <v>54</v>
      </c>
      <c r="K2" s="8" t="b">
        <f aca="false">TRUE()</f>
        <v>1</v>
      </c>
      <c r="L2" s="9" t="n">
        <f aca="false">IF(K2,J2,0)</f>
        <v>54</v>
      </c>
      <c r="M2" s="9" t="n">
        <f aca="false">IF(OR(C2="",D2=""),"",C2*D2*(D2+1)*(2*D2+1)/6)</f>
        <v>273</v>
      </c>
      <c r="N2" s="9" t="n">
        <f aca="false">IF(OR(C2="",D2=""),"",C2*(D2*(D2+1)*(2*D2+1)/6+H2*D2*(D2+1)+D2*H2^2))</f>
        <v>273</v>
      </c>
    </row>
    <row r="3" customFormat="false" ht="15" hidden="false" customHeight="false" outlineLevel="0" collapsed="false">
      <c r="A3" s="5" t="s">
        <v>12</v>
      </c>
      <c r="B3" s="5" t="s">
        <v>15</v>
      </c>
      <c r="C3" s="6" t="n">
        <v>3</v>
      </c>
      <c r="D3" s="7" t="n">
        <v>6</v>
      </c>
      <c r="E3" s="8"/>
      <c r="F3" s="7"/>
      <c r="G3" s="10" t="str">
        <f aca="false">IF(E3="","None",IF(E3="Adaptive","+2",IF(E3="Area","+Area Rating",IF(E3="Chaser","+1",IF(E3="Crashguard","+Crashguard Rating",IF(E3="DINAB","+ROUNDUP(DINAB Rating/2)",IF(E3="Limit","-1",IF(E3="Noise","-Noise Rating",IF(E3="Penetration","+1",IF(E3="Selective","+1",IF(E3="Sneak","+(2×Sneak Rating)",IF(E3="Squeeze","+1",IF(E3="Stealth","+Stealth Rating",IF(E3="Targeting","+2",IF(E3="Armor","+2",IF(E3="Cascading IC","+3",IF(E3="Expert Defense","+1",IF(E3="Expert Offense","+1",IF(E3="Party Cluster","+3",IF(E3="Shield","+2",IF(E3="Shift","+2",IF(E3="Trap","+1 per linked IC",IF(E3="Self-Coder","+Self-Coder Rating","0")))))))))))))))))))))))</f>
        <v>None</v>
      </c>
      <c r="H3" s="9" t="n">
        <f aca="false">IF(E3="",0,IF(E3="Adaptive",2,IF(E3="Area",N(F3),IF(E3="Chaser",1,IF(E3="Crashguard",N(F3),IF(E3="DINAB",ROUNDUP(N(F3)/2,0),IF(E3="Limit",-1,IF(E3="Noise",-N(F3),IF(E3="Penetration",1,IF(E3="Selective",1,IF(E3="Sneak",2*N(F3),IF(E3="Squeeze",1,IF(E3="Stealth",N(F3),IF(E3="Targeting",2,IF(E3="Armor",2,IF(E3="Cascading IC",3,IF(E3="Expert Defense",1,IF(E3="Expert Offense",1,IF(E3="Party Cluster",3,IF(E3="Shield",2,IF(E3="Shift",2,IF(E3="Trap",N(F3),IF(E3="Self-Coder",N(F3),0)))))))))))))))))))))))</f>
        <v>0</v>
      </c>
      <c r="I3" s="9" t="n">
        <f aca="false">MAX(0,D3+H3)</f>
        <v>6</v>
      </c>
      <c r="J3" s="9" t="n">
        <f aca="false">IF(OR(C3="",I3=""),"",ROUNDUP(C3*I3^2/2,0))</f>
        <v>54</v>
      </c>
      <c r="K3" s="8" t="b">
        <f aca="false">TRUE()</f>
        <v>1</v>
      </c>
      <c r="L3" s="9" t="n">
        <f aca="false">IF(K3,J3,0)</f>
        <v>54</v>
      </c>
      <c r="M3" s="9" t="n">
        <f aca="false">IF(OR(C3="",D3=""),"",C3*D3*(D3+1)*(2*D3+1)/6)</f>
        <v>273</v>
      </c>
      <c r="N3" s="9" t="n">
        <f aca="false">IF(OR(C3="",D3=""),"",C3*(D3*(D3+1)*(2*D3+1)/6+H3*D3*(D3+1)+D3*H3^2))</f>
        <v>273</v>
      </c>
    </row>
    <row r="4" customFormat="false" ht="15" hidden="false" customHeight="false" outlineLevel="0" collapsed="false">
      <c r="A4" s="5" t="s">
        <v>12</v>
      </c>
      <c r="B4" s="5" t="s">
        <v>16</v>
      </c>
      <c r="C4" s="6" t="n">
        <v>3</v>
      </c>
      <c r="D4" s="7" t="n">
        <v>6</v>
      </c>
      <c r="E4" s="8"/>
      <c r="F4" s="7"/>
      <c r="G4" s="10" t="str">
        <f aca="false">IF(E4="","None",IF(E4="Adaptive","+2",IF(E4="Area","+Area Rating",IF(E4="Chaser","+1",IF(E4="Crashguard","+Crashguard Rating",IF(E4="DINAB","+ROUNDUP(DINAB Rating/2)",IF(E4="Limit","-1",IF(E4="Noise","-Noise Rating",IF(E4="Penetration","+1",IF(E4="Selective","+1",IF(E4="Sneak","+(2×Sneak Rating)",IF(E4="Squeeze","+1",IF(E4="Stealth","+Stealth Rating",IF(E4="Targeting","+2",IF(E4="Armor","+2",IF(E4="Cascading IC","+3",IF(E4="Expert Defense","+1",IF(E4="Expert Offense","+1",IF(E4="Party Cluster","+3",IF(E4="Shield","+2",IF(E4="Shift","+2",IF(E4="Trap","+1 per linked IC",IF(E4="Self-Coder","+Self-Coder Rating","0")))))))))))))))))))))))</f>
        <v>None</v>
      </c>
      <c r="H4" s="9" t="n">
        <f aca="false">IF(E4="",0,IF(E4="Adaptive",2,IF(E4="Area",N(F4),IF(E4="Chaser",1,IF(E4="Crashguard",N(F4),IF(E4="DINAB",ROUNDUP(N(F4)/2,0),IF(E4="Limit",-1,IF(E4="Noise",-N(F4),IF(E4="Penetration",1,IF(E4="Selective",1,IF(E4="Sneak",2*N(F4),IF(E4="Squeeze",1,IF(E4="Stealth",N(F4),IF(E4="Targeting",2,IF(E4="Armor",2,IF(E4="Cascading IC",3,IF(E4="Expert Defense",1,IF(E4="Expert Offense",1,IF(E4="Party Cluster",3,IF(E4="Shield",2,IF(E4="Shift",2,IF(E4="Trap",N(F4),IF(E4="Self-Coder",N(F4),0)))))))))))))))))))))))</f>
        <v>0</v>
      </c>
      <c r="I4" s="9" t="n">
        <f aca="false">MAX(0,D4+H4)</f>
        <v>6</v>
      </c>
      <c r="J4" s="9" t="n">
        <f aca="false">IF(OR(C4="",I4=""),"",ROUNDUP(C4*I4^2/2,0))</f>
        <v>54</v>
      </c>
      <c r="K4" s="8" t="b">
        <f aca="false">TRUE()</f>
        <v>1</v>
      </c>
      <c r="L4" s="9" t="n">
        <f aca="false">IF(K4,J4,0)</f>
        <v>54</v>
      </c>
      <c r="M4" s="9" t="n">
        <f aca="false">IF(OR(C4="",D4=""),"",C4*D4*(D4+1)*(2*D4+1)/6)</f>
        <v>273</v>
      </c>
      <c r="N4" s="9" t="n">
        <f aca="false">IF(OR(C4="",D4=""),"",C4*(D4*(D4+1)*(2*D4+1)/6+H4*D4*(D4+1)+D4*H4^2))</f>
        <v>273</v>
      </c>
    </row>
    <row r="5" customFormat="false" ht="15" hidden="false" customHeight="false" outlineLevel="0" collapsed="false">
      <c r="A5" s="5" t="s">
        <v>12</v>
      </c>
      <c r="B5" s="5" t="s">
        <v>17</v>
      </c>
      <c r="C5" s="6" t="n">
        <v>4</v>
      </c>
      <c r="D5" s="7" t="n">
        <v>6</v>
      </c>
      <c r="E5" s="8"/>
      <c r="F5" s="7"/>
      <c r="G5" s="10" t="str">
        <f aca="false">IF(E5="","None",IF(E5="Adaptive","+2",IF(E5="Area","+Area Rating",IF(E5="Chaser","+1",IF(E5="Crashguard","+Crashguard Rating",IF(E5="DINAB","+ROUNDUP(DINAB Rating/2)",IF(E5="Limit","-1",IF(E5="Noise","-Noise Rating",IF(E5="Penetration","+1",IF(E5="Selective","+1",IF(E5="Sneak","+(2×Sneak Rating)",IF(E5="Squeeze","+1",IF(E5="Stealth","+Stealth Rating",IF(E5="Targeting","+2",IF(E5="Armor","+2",IF(E5="Cascading IC","+3",IF(E5="Expert Defense","+1",IF(E5="Expert Offense","+1",IF(E5="Party Cluster","+3",IF(E5="Shield","+2",IF(E5="Shift","+2",IF(E5="Trap","+1 per linked IC",IF(E5="Self-Coder","+Self-Coder Rating","0")))))))))))))))))))))))</f>
        <v>None</v>
      </c>
      <c r="H5" s="9" t="n">
        <f aca="false">IF(E5="",0,IF(E5="Adaptive",2,IF(E5="Area",N(F5),IF(E5="Chaser",1,IF(E5="Crashguard",N(F5),IF(E5="DINAB",ROUNDUP(N(F5)/2,0),IF(E5="Limit",-1,IF(E5="Noise",-N(F5),IF(E5="Penetration",1,IF(E5="Selective",1,IF(E5="Sneak",2*N(F5),IF(E5="Squeeze",1,IF(E5="Stealth",N(F5),IF(E5="Targeting",2,IF(E5="Armor",2,IF(E5="Cascading IC",3,IF(E5="Expert Defense",1,IF(E5="Expert Offense",1,IF(E5="Party Cluster",3,IF(E5="Shield",2,IF(E5="Shift",2,IF(E5="Trap",N(F5),IF(E5="Self-Coder",N(F5),0)))))))))))))))))))))))</f>
        <v>0</v>
      </c>
      <c r="I5" s="9" t="n">
        <f aca="false">MAX(0,D5+H5)</f>
        <v>6</v>
      </c>
      <c r="J5" s="9" t="n">
        <f aca="false">IF(OR(C5="",I5=""),"",ROUNDUP(C5*I5^2/2,0))</f>
        <v>72</v>
      </c>
      <c r="K5" s="8" t="b">
        <f aca="false">TRUE()</f>
        <v>1</v>
      </c>
      <c r="L5" s="9" t="n">
        <f aca="false">IF(K5,J5,0)</f>
        <v>72</v>
      </c>
      <c r="M5" s="9" t="n">
        <f aca="false">IF(OR(C5="",D5=""),"",C5*D5*(D5+1)*(2*D5+1)/6)</f>
        <v>364</v>
      </c>
      <c r="N5" s="9" t="n">
        <f aca="false">IF(OR(C5="",D5=""),"",C5*(D5*(D5+1)*(2*D5+1)/6+H5*D5*(D5+1)+D5*H5^2))</f>
        <v>364</v>
      </c>
    </row>
    <row r="6" customFormat="false" ht="15" hidden="false" customHeight="false" outlineLevel="0" collapsed="false">
      <c r="A6" s="5" t="s">
        <v>12</v>
      </c>
      <c r="B6" s="5" t="s">
        <v>19</v>
      </c>
      <c r="C6" s="6" t="n">
        <v>3</v>
      </c>
      <c r="D6" s="7" t="n">
        <v>6</v>
      </c>
      <c r="E6" s="8"/>
      <c r="F6" s="7"/>
      <c r="G6" s="10" t="str">
        <f aca="false">IF(E6="","None",IF(E6="Adaptive","+2",IF(E6="Area","+Area Rating",IF(E6="Chaser","+1",IF(E6="Crashguard","+Crashguard Rating",IF(E6="DINAB","+ROUNDUP(DINAB Rating/2)",IF(E6="Limit","-1",IF(E6="Noise","-Noise Rating",IF(E6="Penetration","+1",IF(E6="Selective","+1",IF(E6="Sneak","+(2×Sneak Rating)",IF(E6="Squeeze","+1",IF(E6="Stealth","+Stealth Rating",IF(E6="Targeting","+2",IF(E6="Armor","+2",IF(E6="Cascading IC","+3",IF(E6="Expert Defense","+1",IF(E6="Expert Offense","+1",IF(E6="Party Cluster","+3",IF(E6="Shield","+2",IF(E6="Shift","+2",IF(E6="Trap","+1 per linked IC",IF(E6="Self-Coder","+Self-Coder Rating","0")))))))))))))))))))))))</f>
        <v>None</v>
      </c>
      <c r="H6" s="9" t="n">
        <f aca="false">IF(E6="",0,IF(E6="Adaptive",2,IF(E6="Area",N(F6),IF(E6="Chaser",1,IF(E6="Crashguard",N(F6),IF(E6="DINAB",ROUNDUP(N(F6)/2,0),IF(E6="Limit",-1,IF(E6="Noise",-N(F6),IF(E6="Penetration",1,IF(E6="Selective",1,IF(E6="Sneak",2*N(F6),IF(E6="Squeeze",1,IF(E6="Stealth",N(F6),IF(E6="Targeting",2,IF(E6="Armor",2,IF(E6="Cascading IC",3,IF(E6="Expert Defense",1,IF(E6="Expert Offense",1,IF(E6="Party Cluster",3,IF(E6="Shield",2,IF(E6="Shift",2,IF(E6="Trap",N(F6),IF(E6="Self-Coder",N(F6),0)))))))))))))))))))))))</f>
        <v>0</v>
      </c>
      <c r="I6" s="9" t="n">
        <f aca="false">MAX(0,D6+H6)</f>
        <v>6</v>
      </c>
      <c r="J6" s="9" t="n">
        <f aca="false">IF(OR(C6="",I6=""),"",ROUNDUP(C6*I6^2/2,0))</f>
        <v>54</v>
      </c>
      <c r="K6" s="8" t="b">
        <f aca="false">FALSE()</f>
        <v>0</v>
      </c>
      <c r="L6" s="9" t="n">
        <f aca="false">IF(K6,J6,0)</f>
        <v>0</v>
      </c>
      <c r="M6" s="9" t="n">
        <f aca="false">IF(OR(C6="",D6=""),"",C6*D6*(D6+1)*(2*D6+1)/6)</f>
        <v>273</v>
      </c>
      <c r="N6" s="9" t="n">
        <f aca="false">IF(OR(C6="",D6=""),"",C6*(D6*(D6+1)*(2*D6+1)/6+H6*D6*(D6+1)+D6*H6^2))</f>
        <v>273</v>
      </c>
    </row>
    <row r="7" customFormat="false" ht="15" hidden="false" customHeight="false" outlineLevel="0" collapsed="false">
      <c r="A7" s="5" t="s">
        <v>12</v>
      </c>
      <c r="B7" s="5" t="s">
        <v>20</v>
      </c>
      <c r="C7" s="6" t="n">
        <v>4</v>
      </c>
      <c r="D7" s="7" t="n">
        <v>6</v>
      </c>
      <c r="E7" s="8"/>
      <c r="F7" s="7"/>
      <c r="G7" s="10" t="str">
        <f aca="false">IF(E7="","None",IF(E7="Adaptive","+2",IF(E7="Area","+Area Rating",IF(E7="Chaser","+1",IF(E7="Crashguard","+Crashguard Rating",IF(E7="DINAB","+ROUNDUP(DINAB Rating/2)",IF(E7="Limit","-1",IF(E7="Noise","-Noise Rating",IF(E7="Penetration","+1",IF(E7="Selective","+1",IF(E7="Sneak","+(2×Sneak Rating)",IF(E7="Squeeze","+1",IF(E7="Stealth","+Stealth Rating",IF(E7="Targeting","+2",IF(E7="Armor","+2",IF(E7="Cascading IC","+3",IF(E7="Expert Defense","+1",IF(E7="Expert Offense","+1",IF(E7="Party Cluster","+3",IF(E7="Shield","+2",IF(E7="Shift","+2",IF(E7="Trap","+1 per linked IC",IF(E7="Self-Coder","+Self-Coder Rating","0")))))))))))))))))))))))</f>
        <v>None</v>
      </c>
      <c r="H7" s="9" t="n">
        <f aca="false">IF(E7="",0,IF(E7="Adaptive",2,IF(E7="Area",N(F7),IF(E7="Chaser",1,IF(E7="Crashguard",N(F7),IF(E7="DINAB",ROUNDUP(N(F7)/2,0),IF(E7="Limit",-1,IF(E7="Noise",-N(F7),IF(E7="Penetration",1,IF(E7="Selective",1,IF(E7="Sneak",2*N(F7),IF(E7="Squeeze",1,IF(E7="Stealth",N(F7),IF(E7="Targeting",2,IF(E7="Armor",2,IF(E7="Cascading IC",3,IF(E7="Expert Defense",1,IF(E7="Expert Offense",1,IF(E7="Party Cluster",3,IF(E7="Shield",2,IF(E7="Shift",2,IF(E7="Trap",N(F7),IF(E7="Self-Coder",N(F7),0)))))))))))))))))))))))</f>
        <v>0</v>
      </c>
      <c r="I7" s="9" t="n">
        <f aca="false">MAX(0,D7+H7)</f>
        <v>6</v>
      </c>
      <c r="J7" s="9" t="n">
        <f aca="false">IF(OR(C7="",I7=""),"",ROUNDUP(C7*I7^2/2,0))</f>
        <v>72</v>
      </c>
      <c r="K7" s="8" t="b">
        <f aca="false">TRUE()</f>
        <v>1</v>
      </c>
      <c r="L7" s="9" t="n">
        <f aca="false">IF(K7,J7,0)</f>
        <v>72</v>
      </c>
      <c r="M7" s="9" t="n">
        <f aca="false">IF(OR(C7="",D7=""),"",C7*D7*(D7+1)*(2*D7+1)/6)</f>
        <v>364</v>
      </c>
      <c r="N7" s="9" t="n">
        <f aca="false">IF(OR(C7="",D7=""),"",C7*(D7*(D7+1)*(2*D7+1)/6+H7*D7*(D7+1)+D7*H7^2))</f>
        <v>364</v>
      </c>
    </row>
    <row r="8" customFormat="false" ht="15" hidden="false" customHeight="false" outlineLevel="0" collapsed="false">
      <c r="A8" s="5" t="s">
        <v>21</v>
      </c>
      <c r="B8" s="5" t="s">
        <v>22</v>
      </c>
      <c r="C8" s="6" t="n">
        <v>5</v>
      </c>
      <c r="D8" s="7" t="n">
        <v>6</v>
      </c>
      <c r="E8" s="8"/>
      <c r="F8" s="7"/>
      <c r="G8" s="10" t="str">
        <f aca="false">IF(E8="","None",IF(E8="Adaptive","+2",IF(E8="Area","+Area Rating",IF(E8="Chaser","+1",IF(E8="Crashguard","+Crashguard Rating",IF(E8="DINAB","+ROUNDUP(DINAB Rating/2)",IF(E8="Limit","-1",IF(E8="Noise","-Noise Rating",IF(E8="Penetration","+1",IF(E8="Selective","+1",IF(E8="Sneak","+(2×Sneak Rating)",IF(E8="Squeeze","+1",IF(E8="Stealth","+Stealth Rating",IF(E8="Targeting","+2",IF(E8="Armor","+2",IF(E8="Cascading IC","+3",IF(E8="Expert Defense","+1",IF(E8="Expert Offense","+1",IF(E8="Party Cluster","+3",IF(E8="Shield","+2",IF(E8="Shift","+2",IF(E8="Trap","+1 per linked IC",IF(E8="Self-Coder","+Self-Coder Rating","0")))))))))))))))))))))))</f>
        <v>None</v>
      </c>
      <c r="H8" s="9" t="n">
        <f aca="false">IF(E8="",0,IF(E8="Adaptive",2,IF(E8="Area",N(F8),IF(E8="Chaser",1,IF(E8="Crashguard",N(F8),IF(E8="DINAB",ROUNDUP(N(F8)/2,0),IF(E8="Limit",-1,IF(E8="Noise",-N(F8),IF(E8="Penetration",1,IF(E8="Selective",1,IF(E8="Sneak",2*N(F8),IF(E8="Squeeze",1,IF(E8="Stealth",N(F8),IF(E8="Targeting",2,IF(E8="Armor",2,IF(E8="Cascading IC",3,IF(E8="Expert Defense",1,IF(E8="Expert Offense",1,IF(E8="Party Cluster",3,IF(E8="Shield",2,IF(E8="Shift",2,IF(E8="Trap",N(F8),IF(E8="Self-Coder",N(F8),0)))))))))))))))))))))))</f>
        <v>0</v>
      </c>
      <c r="I8" s="9" t="n">
        <f aca="false">MAX(0,D8+H8)</f>
        <v>6</v>
      </c>
      <c r="J8" s="9" t="n">
        <f aca="false">IF(OR(C8="",I8=""),"",ROUNDUP(C8*I8^2/2,0))</f>
        <v>90</v>
      </c>
      <c r="K8" s="8" t="b">
        <f aca="false">TRUE()</f>
        <v>1</v>
      </c>
      <c r="L8" s="9" t="n">
        <f aca="false">IF(K8,J8,0)</f>
        <v>90</v>
      </c>
      <c r="M8" s="9" t="n">
        <f aca="false">IF(OR(C8="",D8=""),"",C8*D8*(D8+1)*(2*D8+1)/6)</f>
        <v>455</v>
      </c>
      <c r="N8" s="9" t="n">
        <f aca="false">IF(OR(C8="",D8=""),"",C8*(D8*(D8+1)*(2*D8+1)/6+H8*D8*(D8+1)+D8*H8^2))</f>
        <v>455</v>
      </c>
    </row>
    <row r="9" customFormat="false" ht="15" hidden="false" customHeight="false" outlineLevel="0" collapsed="false">
      <c r="A9" s="5" t="s">
        <v>21</v>
      </c>
      <c r="B9" s="5" t="s">
        <v>25</v>
      </c>
      <c r="C9" s="6" t="n">
        <v>4</v>
      </c>
      <c r="D9" s="7" t="n">
        <v>6</v>
      </c>
      <c r="E9" s="8" t="s">
        <v>26</v>
      </c>
      <c r="F9" s="7"/>
      <c r="G9" s="10" t="str">
        <f aca="false">IF(E9="","None",IF(E9="Adaptive","+2",IF(E9="Area","+Area Rating",IF(E9="Chaser","+1",IF(E9="Crashguard","+Crashguard Rating",IF(E9="DINAB","+ROUNDUP(DINAB Rating/2)",IF(E9="Limit","-1",IF(E9="Noise","-Noise Rating",IF(E9="Penetration","+1",IF(E9="Selective","+1",IF(E9="Sneak","+(2×Sneak Rating)",IF(E9="Squeeze","+1",IF(E9="Stealth","+Stealth Rating",IF(E9="Targeting","+2",IF(E9="Armor","+2",IF(E9="Cascading IC","+3",IF(E9="Expert Defense","+1",IF(E9="Expert Offense","+1",IF(E9="Party Cluster","+3",IF(E9="Shield","+2",IF(E9="Shift","+2",IF(E9="Trap","+1 per linked IC",IF(E9="Self-Coder","+Self-Coder Rating","0")))))))))))))))))))))))</f>
        <v>+2</v>
      </c>
      <c r="H9" s="9" t="n">
        <f aca="false">IF(E9="",0,IF(E9="Adaptive",2,IF(E9="Area",N(F9),IF(E9="Chaser",1,IF(E9="Crashguard",N(F9),IF(E9="DINAB",ROUNDUP(N(F9)/2,0),IF(E9="Limit",-1,IF(E9="Noise",-N(F9),IF(E9="Penetration",1,IF(E9="Selective",1,IF(E9="Sneak",2*N(F9),IF(E9="Squeeze",1,IF(E9="Stealth",N(F9),IF(E9="Targeting",2,IF(E9="Armor",2,IF(E9="Cascading IC",3,IF(E9="Expert Defense",1,IF(E9="Expert Offense",1,IF(E9="Party Cluster",3,IF(E9="Shield",2,IF(E9="Shift",2,IF(E9="Trap",N(F9),IF(E9="Self-Coder",N(F9),0)))))))))))))))))))))))</f>
        <v>2</v>
      </c>
      <c r="I9" s="9" t="n">
        <f aca="false">MAX(0,D9+H9)</f>
        <v>8</v>
      </c>
      <c r="J9" s="9" t="n">
        <f aca="false">IF(OR(C9="",I9=""),"",ROUNDUP(C9*I9^2/2,0))</f>
        <v>128</v>
      </c>
      <c r="K9" s="8" t="b">
        <f aca="false">FALSE()</f>
        <v>0</v>
      </c>
      <c r="L9" s="9" t="n">
        <f aca="false">IF(K9,J9,0)</f>
        <v>0</v>
      </c>
      <c r="M9" s="9" t="n">
        <f aca="false">IF(OR(C9="",D9=""),"",C9*D9*(D9+1)*(2*D9+1)/6)</f>
        <v>364</v>
      </c>
      <c r="N9" s="9" t="n">
        <f aca="false">IF(OR(C9="",D9=""),"",C9*(D9*(D9+1)*(2*D9+1)/6+H9*D9*(D9+1)+D9*H9^2))</f>
        <v>796</v>
      </c>
    </row>
    <row r="10" customFormat="false" ht="15" hidden="false" customHeight="false" outlineLevel="0" collapsed="false">
      <c r="A10" s="5" t="s">
        <v>21</v>
      </c>
      <c r="B10" s="5" t="s">
        <v>29</v>
      </c>
      <c r="C10" s="6" t="n">
        <v>3</v>
      </c>
      <c r="D10" s="7" t="n">
        <v>6</v>
      </c>
      <c r="E10" s="8" t="s">
        <v>26</v>
      </c>
      <c r="F10" s="7"/>
      <c r="G10" s="10" t="str">
        <f aca="false">IF(E10="","None",IF(E10="Adaptive","+2",IF(E10="Area","+Area Rating",IF(E10="Chaser","+1",IF(E10="Crashguard","+Crashguard Rating",IF(E10="DINAB","+ROUNDUP(DINAB Rating/2)",IF(E10="Limit","-1",IF(E10="Noise","-Noise Rating",IF(E10="Penetration","+1",IF(E10="Selective","+1",IF(E10="Sneak","+(2×Sneak Rating)",IF(E10="Squeeze","+1",IF(E10="Stealth","+Stealth Rating",IF(E10="Targeting","+2",IF(E10="Armor","+2",IF(E10="Cascading IC","+3",IF(E10="Expert Defense","+1",IF(E10="Expert Offense","+1",IF(E10="Party Cluster","+3",IF(E10="Shield","+2",IF(E10="Shift","+2",IF(E10="Trap","+1 per linked IC",IF(E10="Self-Coder","+Self-Coder Rating","0")))))))))))))))))))))))</f>
        <v>+2</v>
      </c>
      <c r="H10" s="9" t="n">
        <f aca="false">IF(E10="",0,IF(E10="Adaptive",2,IF(E10="Area",N(F10),IF(E10="Chaser",1,IF(E10="Crashguard",N(F10),IF(E10="DINAB",ROUNDUP(N(F10)/2,0),IF(E10="Limit",-1,IF(E10="Noise",-N(F10),IF(E10="Penetration",1,IF(E10="Selective",1,IF(E10="Sneak",2*N(F10),IF(E10="Squeeze",1,IF(E10="Stealth",N(F10),IF(E10="Targeting",2,IF(E10="Armor",2,IF(E10="Cascading IC",3,IF(E10="Expert Defense",1,IF(E10="Expert Offense",1,IF(E10="Party Cluster",3,IF(E10="Shield",2,IF(E10="Shift",2,IF(E10="Trap",N(F10),IF(E10="Self-Coder",N(F10),0)))))))))))))))))))))))</f>
        <v>2</v>
      </c>
      <c r="I10" s="9" t="n">
        <f aca="false">MAX(0,D10+H10)</f>
        <v>8</v>
      </c>
      <c r="J10" s="9" t="n">
        <f aca="false">IF(OR(C10="",I10=""),"",ROUNDUP(C10*I10^2/2,0))</f>
        <v>96</v>
      </c>
      <c r="K10" s="8" t="b">
        <f aca="false">FALSE()</f>
        <v>0</v>
      </c>
      <c r="L10" s="9" t="n">
        <f aca="false">IF(K10,J10,0)</f>
        <v>0</v>
      </c>
      <c r="M10" s="9" t="n">
        <f aca="false">IF(OR(C10="",D10=""),"",C10*D10*(D10+1)*(2*D10+1)/6)</f>
        <v>273</v>
      </c>
      <c r="N10" s="9" t="n">
        <f aca="false">IF(OR(C10="",D10=""),"",C10*(D10*(D10+1)*(2*D10+1)/6+H10*D10*(D10+1)+D10*H10^2))</f>
        <v>597</v>
      </c>
    </row>
    <row r="11" customFormat="false" ht="15" hidden="false" customHeight="false" outlineLevel="0" collapsed="false">
      <c r="A11" s="5" t="s">
        <v>21</v>
      </c>
      <c r="B11" s="5" t="s">
        <v>31</v>
      </c>
      <c r="C11" s="6" t="n">
        <v>4</v>
      </c>
      <c r="D11" s="7" t="n">
        <v>6</v>
      </c>
      <c r="E11" s="8"/>
      <c r="F11" s="7"/>
      <c r="G11" s="10" t="str">
        <f aca="false">IF(E11="","None",IF(E11="Adaptive","+2",IF(E11="Area","+Area Rating",IF(E11="Chaser","+1",IF(E11="Crashguard","+Crashguard Rating",IF(E11="DINAB","+ROUNDUP(DINAB Rating/2)",IF(E11="Limit","-1",IF(E11="Noise","-Noise Rating",IF(E11="Penetration","+1",IF(E11="Selective","+1",IF(E11="Sneak","+(2×Sneak Rating)",IF(E11="Squeeze","+1",IF(E11="Stealth","+Stealth Rating",IF(E11="Targeting","+2",IF(E11="Armor","+2",IF(E11="Cascading IC","+3",IF(E11="Expert Defense","+1",IF(E11="Expert Offense","+1",IF(E11="Party Cluster","+3",IF(E11="Shield","+2",IF(E11="Shift","+2",IF(E11="Trap","+1 per linked IC",IF(E11="Self-Coder","+Self-Coder Rating","0")))))))))))))))))))))))</f>
        <v>None</v>
      </c>
      <c r="H11" s="9" t="n">
        <f aca="false">IF(E11="",0,IF(E11="Adaptive",2,IF(E11="Area",N(F11),IF(E11="Chaser",1,IF(E11="Crashguard",N(F11),IF(E11="DINAB",ROUNDUP(N(F11)/2,0),IF(E11="Limit",-1,IF(E11="Noise",-N(F11),IF(E11="Penetration",1,IF(E11="Selective",1,IF(E11="Sneak",2*N(F11),IF(E11="Squeeze",1,IF(E11="Stealth",N(F11),IF(E11="Targeting",2,IF(E11="Armor",2,IF(E11="Cascading IC",3,IF(E11="Expert Defense",1,IF(E11="Expert Offense",1,IF(E11="Party Cluster",3,IF(E11="Shield",2,IF(E11="Shift",2,IF(E11="Trap",N(F11),IF(E11="Self-Coder",N(F11),0)))))))))))))))))))))))</f>
        <v>0</v>
      </c>
      <c r="I11" s="9" t="n">
        <f aca="false">MAX(0,D11+H11)</f>
        <v>6</v>
      </c>
      <c r="J11" s="9" t="n">
        <f aca="false">IF(OR(C11="",I11=""),"",ROUNDUP(C11*I11^2/2,0))</f>
        <v>72</v>
      </c>
      <c r="K11" s="8" t="b">
        <f aca="false">FALSE()</f>
        <v>0</v>
      </c>
      <c r="L11" s="9" t="n">
        <f aca="false">IF(K11,J11,0)</f>
        <v>0</v>
      </c>
      <c r="M11" s="9" t="n">
        <f aca="false">IF(OR(C11="",D11=""),"",C11*D11*(D11+1)*(2*D11+1)/6)</f>
        <v>364</v>
      </c>
      <c r="N11" s="9" t="n">
        <f aca="false">IF(OR(C11="",D11=""),"",C11*(D11*(D11+1)*(2*D11+1)/6+H11*D11*(D11+1)+D11*H11^2))</f>
        <v>364</v>
      </c>
    </row>
    <row r="12" customFormat="false" ht="15" hidden="false" customHeight="false" outlineLevel="0" collapsed="false">
      <c r="A12" s="5" t="s">
        <v>21</v>
      </c>
      <c r="B12" s="5" t="s">
        <v>32</v>
      </c>
      <c r="C12" s="6" t="n">
        <v>3</v>
      </c>
      <c r="D12" s="7" t="n">
        <v>6</v>
      </c>
      <c r="E12" s="8" t="s">
        <v>33</v>
      </c>
      <c r="F12" s="7" t="n">
        <v>0</v>
      </c>
      <c r="G12" s="10" t="str">
        <f aca="false">IF(E12="","None",IF(E12="Adaptive","+2",IF(E12="Area","+Area Rating",IF(E12="Chaser","+1",IF(E12="Crashguard","+Crashguard Rating",IF(E12="DINAB","+ROUNDUP(DINAB Rating/2)",IF(E12="Limit","-1",IF(E12="Noise","-Noise Rating",IF(E12="Penetration","+1",IF(E12="Selective","+1",IF(E12="Sneak","+(2×Sneak Rating)",IF(E12="Squeeze","+1",IF(E12="Stealth","+Stealth Rating",IF(E12="Targeting","+2",IF(E12="Armor","+2",IF(E12="Cascading IC","+3",IF(E12="Expert Defense","+1",IF(E12="Expert Offense","+1",IF(E12="Party Cluster","+3",IF(E12="Shield","+2",IF(E12="Shift","+2",IF(E12="Trap","+1 per linked IC",IF(E12="Self-Coder","+Self-Coder Rating","0")))))))))))))))))))))))</f>
        <v>+Stealth Rating</v>
      </c>
      <c r="H12" s="9" t="n">
        <f aca="false">IF(E12="",0,IF(E12="Adaptive",2,IF(E12="Area",N(F12),IF(E12="Chaser",1,IF(E12="Crashguard",N(F12),IF(E12="DINAB",ROUNDUP(N(F12)/2,0),IF(E12="Limit",-1,IF(E12="Noise",-N(F12),IF(E12="Penetration",1,IF(E12="Selective",1,IF(E12="Sneak",2*N(F12),IF(E12="Squeeze",1,IF(E12="Stealth",N(F12),IF(E12="Targeting",2,IF(E12="Armor",2,IF(E12="Cascading IC",3,IF(E12="Expert Defense",1,IF(E12="Expert Offense",1,IF(E12="Party Cluster",3,IF(E12="Shield",2,IF(E12="Shift",2,IF(E12="Trap",N(F12),IF(E12="Self-Coder",N(F12),0)))))))))))))))))))))))</f>
        <v>0</v>
      </c>
      <c r="I12" s="9" t="n">
        <f aca="false">MAX(0,D12+H12)</f>
        <v>6</v>
      </c>
      <c r="J12" s="9" t="n">
        <f aca="false">IF(OR(C12="",I12=""),"",ROUNDUP(C12*I12^2/2,0))</f>
        <v>54</v>
      </c>
      <c r="K12" s="8" t="b">
        <f aca="false">FALSE()</f>
        <v>0</v>
      </c>
      <c r="L12" s="9" t="n">
        <f aca="false">IF(K12,J12,0)</f>
        <v>0</v>
      </c>
      <c r="M12" s="9" t="n">
        <f aca="false">IF(OR(C12="",D12=""),"",C12*D12*(D12+1)*(2*D12+1)/6)</f>
        <v>273</v>
      </c>
      <c r="N12" s="9" t="n">
        <f aca="false">IF(OR(C12="",D12=""),"",C12*(D12*(D12+1)*(2*D12+1)/6+H12*D12*(D12+1)+D12*H12^2))</f>
        <v>273</v>
      </c>
    </row>
    <row r="13" customFormat="false" ht="15" hidden="false" customHeight="false" outlineLevel="0" collapsed="false">
      <c r="A13" s="5" t="s">
        <v>34</v>
      </c>
      <c r="B13" s="5" t="s">
        <v>35</v>
      </c>
      <c r="C13" s="6" t="n">
        <v>3</v>
      </c>
      <c r="D13" s="7" t="n">
        <v>6</v>
      </c>
      <c r="E13" s="8" t="s">
        <v>38</v>
      </c>
      <c r="F13" s="7" t="n">
        <v>1</v>
      </c>
      <c r="G13" s="10" t="str">
        <f aca="false">IF(E13="","None",IF(E13="Adaptive","+2",IF(E13="Area","+Area Rating",IF(E13="Chaser","+1",IF(E13="Crashguard","+Crashguard Rating",IF(E13="DINAB","+ROUNDUP(DINAB Rating/2)",IF(E13="Limit","-1",IF(E13="Noise","-Noise Rating",IF(E13="Penetration","+1",IF(E13="Selective","+1",IF(E13="Sneak","+(2×Sneak Rating)",IF(E13="Squeeze","+1",IF(E13="Stealth","+Stealth Rating",IF(E13="Targeting","+2",IF(E13="Armor","+2",IF(E13="Cascading IC","+3",IF(E13="Expert Defense","+1",IF(E13="Expert Offense","+1",IF(E13="Party Cluster","+3",IF(E13="Shield","+2",IF(E13="Shift","+2",IF(E13="Trap","+1 per linked IC",IF(E13="Self-Coder","+Self-Coder Rating","0")))))))))))))))))))))))</f>
        <v>+(2×Sneak Rating)</v>
      </c>
      <c r="H13" s="9" t="n">
        <f aca="false">IF(E13="",0,IF(E13="Adaptive",2,IF(E13="Area",N(F13),IF(E13="Chaser",1,IF(E13="Crashguard",N(F13),IF(E13="DINAB",ROUNDUP(N(F13)/2,0),IF(E13="Limit",-1,IF(E13="Noise",-N(F13),IF(E13="Penetration",1,IF(E13="Selective",1,IF(E13="Sneak",2*N(F13),IF(E13="Squeeze",1,IF(E13="Stealth",N(F13),IF(E13="Targeting",2,IF(E13="Armor",2,IF(E13="Cascading IC",3,IF(E13="Expert Defense",1,IF(E13="Expert Offense",1,IF(E13="Party Cluster",3,IF(E13="Shield",2,IF(E13="Shift",2,IF(E13="Trap",N(F13),IF(E13="Self-Coder",N(F13),0)))))))))))))))))))))))</f>
        <v>2</v>
      </c>
      <c r="I13" s="9" t="n">
        <f aca="false">MAX(0,D13+H13)</f>
        <v>8</v>
      </c>
      <c r="J13" s="9" t="n">
        <f aca="false">IF(OR(C13="",I13=""),"",ROUNDUP(C13*I13^2/2,0))</f>
        <v>96</v>
      </c>
      <c r="K13" s="8" t="b">
        <f aca="false">TRUE()</f>
        <v>1</v>
      </c>
      <c r="L13" s="9" t="n">
        <f aca="false">IF(K13,J13,0)</f>
        <v>96</v>
      </c>
      <c r="M13" s="9" t="n">
        <f aca="false">IF(OR(C13="",D13=""),"",C13*D13*(D13+1)*(2*D13+1)/6)</f>
        <v>273</v>
      </c>
      <c r="N13" s="9" t="n">
        <f aca="false">IF(OR(C13="",D13=""),"",C13*(D13*(D13+1)*(2*D13+1)/6+H13*D13*(D13+1)+D13*H13^2))</f>
        <v>597</v>
      </c>
    </row>
    <row r="14" customFormat="false" ht="15" hidden="false" customHeight="false" outlineLevel="0" collapsed="false">
      <c r="A14" s="5" t="s">
        <v>34</v>
      </c>
      <c r="B14" s="5" t="s">
        <v>35</v>
      </c>
      <c r="C14" s="6" t="n">
        <v>3</v>
      </c>
      <c r="D14" s="7" t="n">
        <v>6</v>
      </c>
      <c r="E14" s="8" t="s">
        <v>18</v>
      </c>
      <c r="F14" s="7" t="n">
        <v>6</v>
      </c>
      <c r="G14" s="10" t="str">
        <f aca="false">IF(E14="","None",IF(E14="Adaptive","+2",IF(E14="Area","+Area Rating",IF(E14="Chaser","+1",IF(E14="Crashguard","+Crashguard Rating",IF(E14="DINAB","+ROUNDUP(DINAB Rating/2)",IF(E14="Limit","-1",IF(E14="Noise","-Noise Rating",IF(E14="Penetration","+1",IF(E14="Selective","+1",IF(E14="Sneak","+(2×Sneak Rating)",IF(E14="Squeeze","+1",IF(E14="Stealth","+Stealth Rating",IF(E14="Targeting","+2",IF(E14="Armor","+2",IF(E14="Cascading IC","+3",IF(E14="Expert Defense","+1",IF(E14="Expert Offense","+1",IF(E14="Party Cluster","+3",IF(E14="Shield","+2",IF(E14="Shift","+2",IF(E14="Trap","+1 per linked IC",IF(E14="Self-Coder","+Self-Coder Rating","0")))))))))))))))))))))))</f>
        <v>+ROUNDUP(DINAB Rating/2)</v>
      </c>
      <c r="H14" s="9" t="n">
        <f aca="false">IF(E14="",0,IF(E14="Adaptive",2,IF(E14="Area",N(F14),IF(E14="Chaser",1,IF(E14="Crashguard",N(F14),IF(E14="DINAB",ROUNDUP(N(F14)/2,0),IF(E14="Limit",-1,IF(E14="Noise",-N(F14),IF(E14="Penetration",1,IF(E14="Selective",1,IF(E14="Sneak",2*N(F14),IF(E14="Squeeze",1,IF(E14="Stealth",N(F14),IF(E14="Targeting",2,IF(E14="Armor",2,IF(E14="Cascading IC",3,IF(E14="Expert Defense",1,IF(E14="Expert Offense",1,IF(E14="Party Cluster",3,IF(E14="Shield",2,IF(E14="Shift",2,IF(E14="Trap",N(F14),IF(E14="Self-Coder",N(F14),0)))))))))))))))))))))))</f>
        <v>3</v>
      </c>
      <c r="I14" s="9" t="n">
        <f aca="false">MAX(0,D14+H14)</f>
        <v>9</v>
      </c>
      <c r="J14" s="9" t="n">
        <f aca="false">IF(OR(C14="",I14=""),"",ROUNDUP(C14*I14^2/2,0))</f>
        <v>122</v>
      </c>
      <c r="K14" s="8" t="b">
        <f aca="false">TRUE()</f>
        <v>1</v>
      </c>
      <c r="L14" s="9" t="n">
        <f aca="false">IF(K14,J14,0)</f>
        <v>122</v>
      </c>
      <c r="M14" s="9" t="n">
        <f aca="false">IF(OR(C14="",D14=""),"",C14*D14*(D14+1)*(2*D14+1)/6)</f>
        <v>273</v>
      </c>
      <c r="N14" s="9" t="n">
        <f aca="false">IF(OR(C14="",D14=""),"",C14*(D14*(D14+1)*(2*D14+1)/6+H14*D14*(D14+1)+D14*H14^2))</f>
        <v>813</v>
      </c>
    </row>
    <row r="15" customFormat="false" ht="15" hidden="false" customHeight="false" outlineLevel="0" collapsed="false">
      <c r="A15" s="5" t="s">
        <v>34</v>
      </c>
      <c r="B15" s="5" t="s">
        <v>36</v>
      </c>
      <c r="C15" s="6" t="n">
        <v>1</v>
      </c>
      <c r="D15" s="7" t="n">
        <v>6</v>
      </c>
      <c r="E15" s="8" t="s">
        <v>38</v>
      </c>
      <c r="F15" s="7" t="n">
        <v>1</v>
      </c>
      <c r="G15" s="10" t="str">
        <f aca="false">IF(E15="","None",IF(E15="Adaptive","+2",IF(E15="Area","+Area Rating",IF(E15="Chaser","+1",IF(E15="Crashguard","+Crashguard Rating",IF(E15="DINAB","+ROUNDUP(DINAB Rating/2)",IF(E15="Limit","-1",IF(E15="Noise","-Noise Rating",IF(E15="Penetration","+1",IF(E15="Selective","+1",IF(E15="Sneak","+(2×Sneak Rating)",IF(E15="Squeeze","+1",IF(E15="Stealth","+Stealth Rating",IF(E15="Targeting","+2",IF(E15="Armor","+2",IF(E15="Cascading IC","+3",IF(E15="Expert Defense","+1",IF(E15="Expert Offense","+1",IF(E15="Party Cluster","+3",IF(E15="Shield","+2",IF(E15="Shift","+2",IF(E15="Trap","+1 per linked IC",IF(E15="Self-Coder","+Self-Coder Rating","0")))))))))))))))))))))))</f>
        <v>+(2×Sneak Rating)</v>
      </c>
      <c r="H15" s="9" t="n">
        <f aca="false">IF(E15="",0,IF(E15="Adaptive",2,IF(E15="Area",N(F15),IF(E15="Chaser",1,IF(E15="Crashguard",N(F15),IF(E15="DINAB",ROUNDUP(N(F15)/2,0),IF(E15="Limit",-1,IF(E15="Noise",-N(F15),IF(E15="Penetration",1,IF(E15="Selective",1,IF(E15="Sneak",2*N(F15),IF(E15="Squeeze",1,IF(E15="Stealth",N(F15),IF(E15="Targeting",2,IF(E15="Armor",2,IF(E15="Cascading IC",3,IF(E15="Expert Defense",1,IF(E15="Expert Offense",1,IF(E15="Party Cluster",3,IF(E15="Shield",2,IF(E15="Shift",2,IF(E15="Trap",N(F15),IF(E15="Self-Coder",N(F15),0)))))))))))))))))))))))</f>
        <v>2</v>
      </c>
      <c r="I15" s="9" t="n">
        <f aca="false">MAX(0,D15+H15)</f>
        <v>8</v>
      </c>
      <c r="J15" s="9" t="n">
        <f aca="false">IF(OR(C15="",I15=""),"",ROUNDUP(C15*I15^2/2,0))</f>
        <v>32</v>
      </c>
      <c r="K15" s="8" t="b">
        <f aca="false">TRUE()</f>
        <v>1</v>
      </c>
      <c r="L15" s="9" t="n">
        <f aca="false">IF(K15,J15,0)</f>
        <v>32</v>
      </c>
      <c r="M15" s="9" t="n">
        <f aca="false">IF(OR(C15="",D15=""),"",C15*D15*(D15+1)*(2*D15+1)/6)</f>
        <v>91</v>
      </c>
      <c r="N15" s="9" t="n">
        <f aca="false">IF(OR(C15="",D15=""),"",C15*(D15*(D15+1)*(2*D15+1)/6+H15*D15*(D15+1)+D15*H15^2))</f>
        <v>199</v>
      </c>
    </row>
    <row r="16" customFormat="false" ht="15" hidden="false" customHeight="false" outlineLevel="0" collapsed="false">
      <c r="A16" s="5" t="s">
        <v>34</v>
      </c>
      <c r="B16" s="5" t="s">
        <v>37</v>
      </c>
      <c r="C16" s="6" t="n">
        <v>3</v>
      </c>
      <c r="D16" s="7" t="n">
        <v>6</v>
      </c>
      <c r="E16" s="8" t="s">
        <v>38</v>
      </c>
      <c r="F16" s="7" t="n">
        <v>1</v>
      </c>
      <c r="G16" s="10" t="str">
        <f aca="false">IF(E16="","None",IF(E16="Adaptive","+2",IF(E16="Area","+Area Rating",IF(E16="Chaser","+1",IF(E16="Crashguard","+Crashguard Rating",IF(E16="DINAB","+ROUNDUP(DINAB Rating/2)",IF(E16="Limit","-1",IF(E16="Noise","-Noise Rating",IF(E16="Penetration","+1",IF(E16="Selective","+1",IF(E16="Sneak","+(2×Sneak Rating)",IF(E16="Squeeze","+1",IF(E16="Stealth","+Stealth Rating",IF(E16="Targeting","+2",IF(E16="Armor","+2",IF(E16="Cascading IC","+3",IF(E16="Expert Defense","+1",IF(E16="Expert Offense","+1",IF(E16="Party Cluster","+3",IF(E16="Shield","+2",IF(E16="Shift","+2",IF(E16="Trap","+1 per linked IC",IF(E16="Self-Coder","+Self-Coder Rating","0")))))))))))))))))))))))</f>
        <v>+(2×Sneak Rating)</v>
      </c>
      <c r="H16" s="9" t="n">
        <f aca="false">IF(E16="",0,IF(E16="Adaptive",2,IF(E16="Area",N(F16),IF(E16="Chaser",1,IF(E16="Crashguard",N(F16),IF(E16="DINAB",ROUNDUP(N(F16)/2,0),IF(E16="Limit",-1,IF(E16="Noise",-N(F16),IF(E16="Penetration",1,IF(E16="Selective",1,IF(E16="Sneak",2*N(F16),IF(E16="Squeeze",1,IF(E16="Stealth",N(F16),IF(E16="Targeting",2,IF(E16="Armor",2,IF(E16="Cascading IC",3,IF(E16="Expert Defense",1,IF(E16="Expert Offense",1,IF(E16="Party Cluster",3,IF(E16="Shield",2,IF(E16="Shift",2,IF(E16="Trap",N(F16),IF(E16="Self-Coder",N(F16),0)))))))))))))))))))))))</f>
        <v>2</v>
      </c>
      <c r="I16" s="9" t="n">
        <f aca="false">MAX(0,D16+H16)</f>
        <v>8</v>
      </c>
      <c r="J16" s="9" t="n">
        <f aca="false">IF(OR(C16="",I16=""),"",ROUNDUP(C16*I16^2/2,0))</f>
        <v>96</v>
      </c>
      <c r="K16" s="8" t="b">
        <f aca="false">TRUE()</f>
        <v>1</v>
      </c>
      <c r="L16" s="9" t="n">
        <f aca="false">IF(K16,J16,0)</f>
        <v>96</v>
      </c>
      <c r="M16" s="9" t="n">
        <f aca="false">IF(OR(C16="",D16=""),"",C16*D16*(D16+1)*(2*D16+1)/6)</f>
        <v>273</v>
      </c>
      <c r="N16" s="9" t="n">
        <f aca="false">IF(OR(C16="",D16=""),"",C16*(D16*(D16+1)*(2*D16+1)/6+H16*D16*(D16+1)+D16*H16^2))</f>
        <v>597</v>
      </c>
    </row>
    <row r="17" customFormat="false" ht="15" hidden="false" customHeight="false" outlineLevel="0" collapsed="false">
      <c r="A17" s="5" t="s">
        <v>34</v>
      </c>
      <c r="B17" s="5" t="s">
        <v>39</v>
      </c>
      <c r="C17" s="6" t="n">
        <v>1</v>
      </c>
      <c r="D17" s="7" t="n">
        <v>6</v>
      </c>
      <c r="E17" s="8" t="s">
        <v>38</v>
      </c>
      <c r="F17" s="7" t="n">
        <v>1</v>
      </c>
      <c r="G17" s="10" t="str">
        <f aca="false">IF(E17="","None",IF(E17="Adaptive","+2",IF(E17="Area","+Area Rating",IF(E17="Chaser","+1",IF(E17="Crashguard","+Crashguard Rating",IF(E17="DINAB","+ROUNDUP(DINAB Rating/2)",IF(E17="Limit","-1",IF(E17="Noise","-Noise Rating",IF(E17="Penetration","+1",IF(E17="Selective","+1",IF(E17="Sneak","+(2×Sneak Rating)",IF(E17="Squeeze","+1",IF(E17="Stealth","+Stealth Rating",IF(E17="Targeting","+2",IF(E17="Armor","+2",IF(E17="Cascading IC","+3",IF(E17="Expert Defense","+1",IF(E17="Expert Offense","+1",IF(E17="Party Cluster","+3",IF(E17="Shield","+2",IF(E17="Shift","+2",IF(E17="Trap","+1 per linked IC",IF(E17="Self-Coder","+Self-Coder Rating","0")))))))))))))))))))))))</f>
        <v>+(2×Sneak Rating)</v>
      </c>
      <c r="H17" s="9" t="n">
        <f aca="false">IF(E17="",0,IF(E17="Adaptive",2,IF(E17="Area",N(F17),IF(E17="Chaser",1,IF(E17="Crashguard",N(F17),IF(E17="DINAB",ROUNDUP(N(F17)/2,0),IF(E17="Limit",-1,IF(E17="Noise",-N(F17),IF(E17="Penetration",1,IF(E17="Selective",1,IF(E17="Sneak",2*N(F17),IF(E17="Squeeze",1,IF(E17="Stealth",N(F17),IF(E17="Targeting",2,IF(E17="Armor",2,IF(E17="Cascading IC",3,IF(E17="Expert Defense",1,IF(E17="Expert Offense",1,IF(E17="Party Cluster",3,IF(E17="Shield",2,IF(E17="Shift",2,IF(E17="Trap",N(F17),IF(E17="Self-Coder",N(F17),0)))))))))))))))))))))))</f>
        <v>2</v>
      </c>
      <c r="I17" s="9" t="n">
        <f aca="false">MAX(0,D17+H17)</f>
        <v>8</v>
      </c>
      <c r="J17" s="9" t="n">
        <f aca="false">IF(OR(C17="",I17=""),"",ROUNDUP(C17*I17^2/2,0))</f>
        <v>32</v>
      </c>
      <c r="K17" s="8" t="b">
        <f aca="false">TRUE()</f>
        <v>1</v>
      </c>
      <c r="L17" s="9" t="n">
        <f aca="false">IF(K17,J17,0)</f>
        <v>32</v>
      </c>
      <c r="M17" s="9" t="n">
        <f aca="false">IF(OR(C17="",D17=""),"",C17*D17*(D17+1)*(2*D17+1)/6)</f>
        <v>91</v>
      </c>
      <c r="N17" s="9" t="n">
        <f aca="false">IF(OR(C17="",D17=""),"",C17*(D17*(D17+1)*(2*D17+1)/6+H17*D17*(D17+1)+D17*H17^2))</f>
        <v>199</v>
      </c>
    </row>
    <row r="18" customFormat="false" ht="15" hidden="false" customHeight="false" outlineLevel="0" collapsed="false">
      <c r="A18" s="5" t="s">
        <v>34</v>
      </c>
      <c r="B18" s="5" t="s">
        <v>40</v>
      </c>
      <c r="C18" s="6" t="n">
        <v>3</v>
      </c>
      <c r="D18" s="7" t="n">
        <v>6</v>
      </c>
      <c r="E18" s="8" t="s">
        <v>38</v>
      </c>
      <c r="F18" s="7" t="n">
        <v>1</v>
      </c>
      <c r="G18" s="10" t="str">
        <f aca="false">IF(E18="","None",IF(E18="Adaptive","+2",IF(E18="Area","+Area Rating",IF(E18="Chaser","+1",IF(E18="Crashguard","+Crashguard Rating",IF(E18="DINAB","+ROUNDUP(DINAB Rating/2)",IF(E18="Limit","-1",IF(E18="Noise","-Noise Rating",IF(E18="Penetration","+1",IF(E18="Selective","+1",IF(E18="Sneak","+(2×Sneak Rating)",IF(E18="Squeeze","+1",IF(E18="Stealth","+Stealth Rating",IF(E18="Targeting","+2",IF(E18="Armor","+2",IF(E18="Cascading IC","+3",IF(E18="Expert Defense","+1",IF(E18="Expert Offense","+1",IF(E18="Party Cluster","+3",IF(E18="Shield","+2",IF(E18="Shift","+2",IF(E18="Trap","+1 per linked IC",IF(E18="Self-Coder","+Self-Coder Rating","0")))))))))))))))))))))))</f>
        <v>+(2×Sneak Rating)</v>
      </c>
      <c r="H18" s="9" t="n">
        <f aca="false">IF(E18="",0,IF(E18="Adaptive",2,IF(E18="Area",N(F18),IF(E18="Chaser",1,IF(E18="Crashguard",N(F18),IF(E18="DINAB",ROUNDUP(N(F18)/2,0),IF(E18="Limit",-1,IF(E18="Noise",-N(F18),IF(E18="Penetration",1,IF(E18="Selective",1,IF(E18="Sneak",2*N(F18),IF(E18="Squeeze",1,IF(E18="Stealth",N(F18),IF(E18="Targeting",2,IF(E18="Armor",2,IF(E18="Cascading IC",3,IF(E18="Expert Defense",1,IF(E18="Expert Offense",1,IF(E18="Party Cluster",3,IF(E18="Shield",2,IF(E18="Shift",2,IF(E18="Trap",N(F18),IF(E18="Self-Coder",N(F18),0)))))))))))))))))))))))</f>
        <v>2</v>
      </c>
      <c r="I18" s="9" t="n">
        <f aca="false">MAX(0,D18+H18)</f>
        <v>8</v>
      </c>
      <c r="J18" s="9" t="n">
        <f aca="false">IF(OR(C18="",I18=""),"",ROUNDUP(C18*I18^2/2,0))</f>
        <v>96</v>
      </c>
      <c r="K18" s="8" t="b">
        <f aca="false">FALSE()</f>
        <v>0</v>
      </c>
      <c r="L18" s="9" t="n">
        <f aca="false">IF(K18,J18,0)</f>
        <v>0</v>
      </c>
      <c r="M18" s="9" t="n">
        <f aca="false">IF(OR(C18="",D18=""),"",C18*D18*(D18+1)*(2*D18+1)/6)</f>
        <v>273</v>
      </c>
      <c r="N18" s="9" t="n">
        <f aca="false">IF(OR(C18="",D18=""),"",C18*(D18*(D18+1)*(2*D18+1)/6+H18*D18*(D18+1)+D18*H18^2))</f>
        <v>597</v>
      </c>
    </row>
    <row r="19" customFormat="false" ht="15" hidden="false" customHeight="false" outlineLevel="0" collapsed="false">
      <c r="A19" s="5" t="s">
        <v>34</v>
      </c>
      <c r="B19" s="5" t="s">
        <v>41</v>
      </c>
      <c r="C19" s="6" t="n">
        <v>2</v>
      </c>
      <c r="D19" s="7" t="n">
        <v>6</v>
      </c>
      <c r="E19" s="8" t="s">
        <v>38</v>
      </c>
      <c r="F19" s="7" t="n">
        <v>1</v>
      </c>
      <c r="G19" s="10" t="str">
        <f aca="false">IF(E19="","None",IF(E19="Adaptive","+2",IF(E19="Area","+Area Rating",IF(E19="Chaser","+1",IF(E19="Crashguard","+Crashguard Rating",IF(E19="DINAB","+ROUNDUP(DINAB Rating/2)",IF(E19="Limit","-1",IF(E19="Noise","-Noise Rating",IF(E19="Penetration","+1",IF(E19="Selective","+1",IF(E19="Sneak","+(2×Sneak Rating)",IF(E19="Squeeze","+1",IF(E19="Stealth","+Stealth Rating",IF(E19="Targeting","+2",IF(E19="Armor","+2",IF(E19="Cascading IC","+3",IF(E19="Expert Defense","+1",IF(E19="Expert Offense","+1",IF(E19="Party Cluster","+3",IF(E19="Shield","+2",IF(E19="Shift","+2",IF(E19="Trap","+1 per linked IC",IF(E19="Self-Coder","+Self-Coder Rating","0")))))))))))))))))))))))</f>
        <v>+(2×Sneak Rating)</v>
      </c>
      <c r="H19" s="9" t="n">
        <f aca="false">IF(E19="",0,IF(E19="Adaptive",2,IF(E19="Area",N(F19),IF(E19="Chaser",1,IF(E19="Crashguard",N(F19),IF(E19="DINAB",ROUNDUP(N(F19)/2,0),IF(E19="Limit",-1,IF(E19="Noise",-N(F19),IF(E19="Penetration",1,IF(E19="Selective",1,IF(E19="Sneak",2*N(F19),IF(E19="Squeeze",1,IF(E19="Stealth",N(F19),IF(E19="Targeting",2,IF(E19="Armor",2,IF(E19="Cascading IC",3,IF(E19="Expert Defense",1,IF(E19="Expert Offense",1,IF(E19="Party Cluster",3,IF(E19="Shield",2,IF(E19="Shift",2,IF(E19="Trap",N(F19),IF(E19="Self-Coder",N(F19),0)))))))))))))))))))))))</f>
        <v>2</v>
      </c>
      <c r="I19" s="9" t="n">
        <f aca="false">MAX(0,D19+H19)</f>
        <v>8</v>
      </c>
      <c r="J19" s="9" t="n">
        <f aca="false">IF(OR(C19="",I19=""),"",ROUNDUP(C19*I19^2/2,0))</f>
        <v>64</v>
      </c>
      <c r="K19" s="8" t="b">
        <f aca="false">TRUE()</f>
        <v>1</v>
      </c>
      <c r="L19" s="9" t="n">
        <f aca="false">IF(K19,J19,0)</f>
        <v>64</v>
      </c>
      <c r="M19" s="9" t="n">
        <f aca="false">IF(OR(C19="",D19=""),"",C19*D19*(D19+1)*(2*D19+1)/6)</f>
        <v>182</v>
      </c>
      <c r="N19" s="9" t="n">
        <f aca="false">IF(OR(C19="",D19=""),"",C19*(D19*(D19+1)*(2*D19+1)/6+H19*D19*(D19+1)+D19*H19^2))</f>
        <v>398</v>
      </c>
    </row>
    <row r="20" customFormat="false" ht="15" hidden="false" customHeight="false" outlineLevel="0" collapsed="false">
      <c r="A20" s="5" t="s">
        <v>34</v>
      </c>
      <c r="B20" s="5" t="s">
        <v>42</v>
      </c>
      <c r="C20" s="6" t="n">
        <v>1</v>
      </c>
      <c r="D20" s="7" t="n">
        <v>6</v>
      </c>
      <c r="E20" s="8" t="s">
        <v>38</v>
      </c>
      <c r="F20" s="7" t="n">
        <v>1</v>
      </c>
      <c r="G20" s="10" t="str">
        <f aca="false">IF(E20="","None",IF(E20="Adaptive","+2",IF(E20="Area","+Area Rating",IF(E20="Chaser","+1",IF(E20="Crashguard","+Crashguard Rating",IF(E20="DINAB","+ROUNDUP(DINAB Rating/2)",IF(E20="Limit","-1",IF(E20="Noise","-Noise Rating",IF(E20="Penetration","+1",IF(E20="Selective","+1",IF(E20="Sneak","+(2×Sneak Rating)",IF(E20="Squeeze","+1",IF(E20="Stealth","+Stealth Rating",IF(E20="Targeting","+2",IF(E20="Armor","+2",IF(E20="Cascading IC","+3",IF(E20="Expert Defense","+1",IF(E20="Expert Offense","+1",IF(E20="Party Cluster","+3",IF(E20="Shield","+2",IF(E20="Shift","+2",IF(E20="Trap","+1 per linked IC",IF(E20="Self-Coder","+Self-Coder Rating","0")))))))))))))))))))))))</f>
        <v>+(2×Sneak Rating)</v>
      </c>
      <c r="H20" s="9" t="n">
        <f aca="false">IF(E20="",0,IF(E20="Adaptive",2,IF(E20="Area",N(F20),IF(E20="Chaser",1,IF(E20="Crashguard",N(F20),IF(E20="DINAB",ROUNDUP(N(F20)/2,0),IF(E20="Limit",-1,IF(E20="Noise",-N(F20),IF(E20="Penetration",1,IF(E20="Selective",1,IF(E20="Sneak",2*N(F20),IF(E20="Squeeze",1,IF(E20="Stealth",N(F20),IF(E20="Targeting",2,IF(E20="Armor",2,IF(E20="Cascading IC",3,IF(E20="Expert Defense",1,IF(E20="Expert Offense",1,IF(E20="Party Cluster",3,IF(E20="Shield",2,IF(E20="Shift",2,IF(E20="Trap",N(F20),IF(E20="Self-Coder",N(F20),0)))))))))))))))))))))))</f>
        <v>2</v>
      </c>
      <c r="I20" s="9" t="n">
        <f aca="false">MAX(0,D20+H20)</f>
        <v>8</v>
      </c>
      <c r="J20" s="9" t="n">
        <f aca="false">IF(OR(C20="",I20=""),"",ROUNDUP(C20*I20^2/2,0))</f>
        <v>32</v>
      </c>
      <c r="K20" s="8" t="b">
        <f aca="false">FALSE()</f>
        <v>0</v>
      </c>
      <c r="L20" s="9" t="n">
        <f aca="false">IF(K20,J20,0)</f>
        <v>0</v>
      </c>
      <c r="M20" s="9" t="n">
        <f aca="false">IF(OR(C20="",D20=""),"",C20*D20*(D20+1)*(2*D20+1)/6)</f>
        <v>91</v>
      </c>
      <c r="N20" s="9" t="n">
        <f aca="false">IF(OR(C20="",D20=""),"",C20*(D20*(D20+1)*(2*D20+1)/6+H20*D20*(D20+1)+D20*H20^2))</f>
        <v>199</v>
      </c>
    </row>
    <row r="21" customFormat="false" ht="15" hidden="false" customHeight="false" outlineLevel="0" collapsed="false">
      <c r="A21" s="5" t="s">
        <v>34</v>
      </c>
      <c r="B21" s="5" t="s">
        <v>43</v>
      </c>
      <c r="C21" s="6" t="n">
        <v>2</v>
      </c>
      <c r="D21" s="7" t="n">
        <v>6</v>
      </c>
      <c r="E21" s="8" t="s">
        <v>38</v>
      </c>
      <c r="F21" s="7" t="n">
        <v>1</v>
      </c>
      <c r="G21" s="10" t="str">
        <f aca="false">IF(E21="","None",IF(E21="Adaptive","+2",IF(E21="Area","+Area Rating",IF(E21="Chaser","+1",IF(E21="Crashguard","+Crashguard Rating",IF(E21="DINAB","+ROUNDUP(DINAB Rating/2)",IF(E21="Limit","-1",IF(E21="Noise","-Noise Rating",IF(E21="Penetration","+1",IF(E21="Selective","+1",IF(E21="Sneak","+(2×Sneak Rating)",IF(E21="Squeeze","+1",IF(E21="Stealth","+Stealth Rating",IF(E21="Targeting","+2",IF(E21="Armor","+2",IF(E21="Cascading IC","+3",IF(E21="Expert Defense","+1",IF(E21="Expert Offense","+1",IF(E21="Party Cluster","+3",IF(E21="Shield","+2",IF(E21="Shift","+2",IF(E21="Trap","+1 per linked IC",IF(E21="Self-Coder","+Self-Coder Rating","0")))))))))))))))))))))))</f>
        <v>+(2×Sneak Rating)</v>
      </c>
      <c r="H21" s="9" t="n">
        <f aca="false">IF(E21="",0,IF(E21="Adaptive",2,IF(E21="Area",N(F21),IF(E21="Chaser",1,IF(E21="Crashguard",N(F21),IF(E21="DINAB",ROUNDUP(N(F21)/2,0),IF(E21="Limit",-1,IF(E21="Noise",-N(F21),IF(E21="Penetration",1,IF(E21="Selective",1,IF(E21="Sneak",2*N(F21),IF(E21="Squeeze",1,IF(E21="Stealth",N(F21),IF(E21="Targeting",2,IF(E21="Armor",2,IF(E21="Cascading IC",3,IF(E21="Expert Defense",1,IF(E21="Expert Offense",1,IF(E21="Party Cluster",3,IF(E21="Shield",2,IF(E21="Shift",2,IF(E21="Trap",N(F21),IF(E21="Self-Coder",N(F21),0)))))))))))))))))))))))</f>
        <v>2</v>
      </c>
      <c r="I21" s="9" t="n">
        <f aca="false">MAX(0,D21+H21)</f>
        <v>8</v>
      </c>
      <c r="J21" s="9" t="n">
        <f aca="false">IF(OR(C21="",I21=""),"",ROUNDUP(C21*I21^2/2,0))</f>
        <v>64</v>
      </c>
      <c r="K21" s="8" t="b">
        <f aca="false">TRUE()</f>
        <v>1</v>
      </c>
      <c r="L21" s="9" t="n">
        <f aca="false">IF(K21,J21,0)</f>
        <v>64</v>
      </c>
      <c r="M21" s="9" t="n">
        <f aca="false">IF(OR(C21="",D21=""),"",C21*D21*(D21+1)*(2*D21+1)/6)</f>
        <v>182</v>
      </c>
      <c r="N21" s="9" t="n">
        <f aca="false">IF(OR(C21="",D21=""),"",C21*(D21*(D21+1)*(2*D21+1)/6+H21*D21*(D21+1)+D21*H21^2))</f>
        <v>398</v>
      </c>
    </row>
    <row r="22" customFormat="false" ht="15" hidden="false" customHeight="false" outlineLevel="0" collapsed="false">
      <c r="A22" s="5" t="s">
        <v>34</v>
      </c>
      <c r="B22" s="5" t="s">
        <v>44</v>
      </c>
      <c r="C22" s="11" t="n">
        <v>3</v>
      </c>
      <c r="D22" s="7" t="n">
        <v>6</v>
      </c>
      <c r="E22" s="8" t="s">
        <v>38</v>
      </c>
      <c r="F22" s="7" t="n">
        <v>1</v>
      </c>
      <c r="G22" s="10" t="str">
        <f aca="false">IF(E22="","None",IF(E22="Adaptive","+2",IF(E22="Area","+Area Rating",IF(E22="Chaser","+1",IF(E22="Crashguard","+Crashguard Rating",IF(E22="DINAB","+ROUNDUP(DINAB Rating/2)",IF(E22="Limit","-1",IF(E22="Noise","-Noise Rating",IF(E22="Penetration","+1",IF(E22="Selective","+1",IF(E22="Sneak","+(2×Sneak Rating)",IF(E22="Squeeze","+1",IF(E22="Stealth","+Stealth Rating",IF(E22="Targeting","+2",IF(E22="Armor","+2",IF(E22="Cascading IC","+3",IF(E22="Expert Defense","+1",IF(E22="Expert Offense","+1",IF(E22="Party Cluster","+3",IF(E22="Shield","+2",IF(E22="Shift","+2",IF(E22="Trap","+1 per linked IC",IF(E22="Self-Coder","+Self-Coder Rating","0")))))))))))))))))))))))</f>
        <v>+(2×Sneak Rating)</v>
      </c>
      <c r="H22" s="9" t="n">
        <f aca="false">IF(E22="",0,IF(E22="Adaptive",2,IF(E22="Area",N(F22),IF(E22="Chaser",1,IF(E22="Crashguard",N(F22),IF(E22="DINAB",ROUNDUP(N(F22)/2,0),IF(E22="Limit",-1,IF(E22="Noise",-N(F22),IF(E22="Penetration",1,IF(E22="Selective",1,IF(E22="Sneak",2*N(F22),IF(E22="Squeeze",1,IF(E22="Stealth",N(F22),IF(E22="Targeting",2,IF(E22="Armor",2,IF(E22="Cascading IC",3,IF(E22="Expert Defense",1,IF(E22="Expert Offense",1,IF(E22="Party Cluster",3,IF(E22="Shield",2,IF(E22="Shift",2,IF(E22="Trap",N(F22),IF(E22="Self-Coder",N(F22),0)))))))))))))))))))))))</f>
        <v>2</v>
      </c>
      <c r="I22" s="9" t="n">
        <f aca="false">MAX(0,D22+H22)</f>
        <v>8</v>
      </c>
      <c r="J22" s="12" t="n">
        <f aca="false">IF(OR(C22="",I22=""),"",ROUNDUP(C22*I22^2/2,0))</f>
        <v>96</v>
      </c>
      <c r="K22" s="8" t="b">
        <f aca="false">TRUE()</f>
        <v>1</v>
      </c>
      <c r="L22" s="9" t="n">
        <f aca="false">IF(K22,J22,0)</f>
        <v>96</v>
      </c>
      <c r="M22" s="12" t="n">
        <f aca="false">IF(OR(C22="",D22=""),"",C22*D22*(D22+1)*(2*D22+1)/6)</f>
        <v>273</v>
      </c>
      <c r="N22" s="12" t="n">
        <f aca="false">IF(OR(C22="",D22=""),"",C22*(D22*(D22+1)*(2*D22+1)/6+H22*D22*(D22+1)+D22*H22^2))</f>
        <v>597</v>
      </c>
    </row>
    <row r="23" customFormat="false" ht="15" hidden="false" customHeight="false" outlineLevel="0" collapsed="false">
      <c r="A23" s="5" t="s">
        <v>34</v>
      </c>
      <c r="B23" s="5" t="s">
        <v>45</v>
      </c>
      <c r="C23" s="6" t="n">
        <v>1</v>
      </c>
      <c r="D23" s="7" t="n">
        <v>6</v>
      </c>
      <c r="E23" s="8" t="s">
        <v>38</v>
      </c>
      <c r="F23" s="7" t="n">
        <v>1</v>
      </c>
      <c r="G23" s="10" t="str">
        <f aca="false">IF(E23="","None",IF(E23="Adaptive","+2",IF(E23="Area","+Area Rating",IF(E23="Chaser","+1",IF(E23="Crashguard","+Crashguard Rating",IF(E23="DINAB","+ROUNDUP(DINAB Rating/2)",IF(E23="Limit","-1",IF(E23="Noise","-Noise Rating",IF(E23="Penetration","+1",IF(E23="Selective","+1",IF(E23="Sneak","+(2×Sneak Rating)",IF(E23="Squeeze","+1",IF(E23="Stealth","+Stealth Rating",IF(E23="Targeting","+2",IF(E23="Armor","+2",IF(E23="Cascading IC","+3",IF(E23="Expert Defense","+1",IF(E23="Expert Offense","+1",IF(E23="Party Cluster","+3",IF(E23="Shield","+2",IF(E23="Shift","+2",IF(E23="Trap","+1 per linked IC",IF(E23="Self-Coder","+Self-Coder Rating","0")))))))))))))))))))))))</f>
        <v>+(2×Sneak Rating)</v>
      </c>
      <c r="H23" s="9" t="n">
        <f aca="false">IF(E23="",0,IF(E23="Adaptive",2,IF(E23="Area",N(F23),IF(E23="Chaser",1,IF(E23="Crashguard",N(F23),IF(E23="DINAB",ROUNDUP(N(F23)/2,0),IF(E23="Limit",-1,IF(E23="Noise",-N(F23),IF(E23="Penetration",1,IF(E23="Selective",1,IF(E23="Sneak",2*N(F23),IF(E23="Squeeze",1,IF(E23="Stealth",N(F23),IF(E23="Targeting",2,IF(E23="Armor",2,IF(E23="Cascading IC",3,IF(E23="Expert Defense",1,IF(E23="Expert Offense",1,IF(E23="Party Cluster",3,IF(E23="Shield",2,IF(E23="Shift",2,IF(E23="Trap",N(F23),IF(E23="Self-Coder",N(F23),0)))))))))))))))))))))))</f>
        <v>2</v>
      </c>
      <c r="I23" s="9" t="n">
        <f aca="false">MAX(0,D23+H23)</f>
        <v>8</v>
      </c>
      <c r="J23" s="9" t="n">
        <f aca="false">IF(OR(C23="",I23=""),"",ROUNDUP(C23*I23^2/2,0))</f>
        <v>32</v>
      </c>
      <c r="K23" s="8" t="b">
        <f aca="false">FALSE()</f>
        <v>0</v>
      </c>
      <c r="L23" s="9" t="n">
        <f aca="false">IF(K23,J23,0)</f>
        <v>0</v>
      </c>
      <c r="M23" s="9" t="n">
        <f aca="false">IF(OR(C23="",D23=""),"",C23*D23*(D23+1)*(2*D23+1)/6)</f>
        <v>91</v>
      </c>
      <c r="N23" s="9" t="n">
        <f aca="false">IF(OR(C23="",D23=""),"",C23*(D23*(D23+1)*(2*D23+1)/6+H23*D23*(D23+1)+D23*H23^2))</f>
        <v>199</v>
      </c>
    </row>
    <row r="24" customFormat="false" ht="15" hidden="false" customHeight="false" outlineLevel="0" collapsed="false">
      <c r="A24" s="5" t="s">
        <v>34</v>
      </c>
      <c r="B24" s="5" t="s">
        <v>46</v>
      </c>
      <c r="C24" s="6" t="n">
        <v>2</v>
      </c>
      <c r="D24" s="7" t="n">
        <v>6</v>
      </c>
      <c r="E24" s="8" t="s">
        <v>38</v>
      </c>
      <c r="F24" s="7" t="n">
        <v>1</v>
      </c>
      <c r="G24" s="10" t="str">
        <f aca="false">IF(E24="","None",IF(E24="Adaptive","+2",IF(E24="Area","+Area Rating",IF(E24="Chaser","+1",IF(E24="Crashguard","+Crashguard Rating",IF(E24="DINAB","+ROUNDUP(DINAB Rating/2)",IF(E24="Limit","-1",IF(E24="Noise","-Noise Rating",IF(E24="Penetration","+1",IF(E24="Selective","+1",IF(E24="Sneak","+(2×Sneak Rating)",IF(E24="Squeeze","+1",IF(E24="Stealth","+Stealth Rating",IF(E24="Targeting","+2",IF(E24="Armor","+2",IF(E24="Cascading IC","+3",IF(E24="Expert Defense","+1",IF(E24="Expert Offense","+1",IF(E24="Party Cluster","+3",IF(E24="Shield","+2",IF(E24="Shift","+2",IF(E24="Trap","+1 per linked IC",IF(E24="Self-Coder","+Self-Coder Rating","0")))))))))))))))))))))))</f>
        <v>+(2×Sneak Rating)</v>
      </c>
      <c r="H24" s="9" t="n">
        <f aca="false">IF(E24="",0,IF(E24="Adaptive",2,IF(E24="Area",N(F24),IF(E24="Chaser",1,IF(E24="Crashguard",N(F24),IF(E24="DINAB",ROUNDUP(N(F24)/2,0),IF(E24="Limit",-1,IF(E24="Noise",-N(F24),IF(E24="Penetration",1,IF(E24="Selective",1,IF(E24="Sneak",2*N(F24),IF(E24="Squeeze",1,IF(E24="Stealth",N(F24),IF(E24="Targeting",2,IF(E24="Armor",2,IF(E24="Cascading IC",3,IF(E24="Expert Defense",1,IF(E24="Expert Offense",1,IF(E24="Party Cluster",3,IF(E24="Shield",2,IF(E24="Shift",2,IF(E24="Trap",N(F24),IF(E24="Self-Coder",N(F24),0)))))))))))))))))))))))</f>
        <v>2</v>
      </c>
      <c r="I24" s="9" t="n">
        <f aca="false">MAX(0,D24+H24)</f>
        <v>8</v>
      </c>
      <c r="J24" s="9" t="n">
        <f aca="false">IF(OR(C24="",I24=""),"",ROUNDUP(C24*I24^2/2,0))</f>
        <v>64</v>
      </c>
      <c r="K24" s="8" t="b">
        <f aca="false">TRUE()</f>
        <v>1</v>
      </c>
      <c r="L24" s="9" t="n">
        <f aca="false">IF(K24,J24,0)</f>
        <v>64</v>
      </c>
      <c r="M24" s="9" t="n">
        <f aca="false">IF(OR(C24="",D24=""),"",C24*D24*(D24+1)*(2*D24+1)/6)</f>
        <v>182</v>
      </c>
      <c r="N24" s="9" t="n">
        <f aca="false">IF(OR(C24="",D24=""),"",C24*(D24*(D24+1)*(2*D24+1)/6+H24*D24*(D24+1)+D24*H24^2))</f>
        <v>398</v>
      </c>
    </row>
    <row r="25" customFormat="false" ht="15" hidden="false" customHeight="false" outlineLevel="0" collapsed="false">
      <c r="A25" s="5" t="s">
        <v>34</v>
      </c>
      <c r="B25" s="5" t="s">
        <v>47</v>
      </c>
      <c r="C25" s="6" t="n">
        <v>3</v>
      </c>
      <c r="D25" s="7" t="n">
        <v>6</v>
      </c>
      <c r="E25" s="8" t="s">
        <v>38</v>
      </c>
      <c r="F25" s="7" t="n">
        <v>1</v>
      </c>
      <c r="G25" s="10" t="str">
        <f aca="false">IF(E25="","None",IF(E25="Adaptive","+2",IF(E25="Area","+Area Rating",IF(E25="Chaser","+1",IF(E25="Crashguard","+Crashguard Rating",IF(E25="DINAB","+ROUNDUP(DINAB Rating/2)",IF(E25="Limit","-1",IF(E25="Noise","-Noise Rating",IF(E25="Penetration","+1",IF(E25="Selective","+1",IF(E25="Sneak","+(2×Sneak Rating)",IF(E25="Squeeze","+1",IF(E25="Stealth","+Stealth Rating",IF(E25="Targeting","+2",IF(E25="Armor","+2",IF(E25="Cascading IC","+3",IF(E25="Expert Defense","+1",IF(E25="Expert Offense","+1",IF(E25="Party Cluster","+3",IF(E25="Shield","+2",IF(E25="Shift","+2",IF(E25="Trap","+1 per linked IC",IF(E25="Self-Coder","+Self-Coder Rating","0")))))))))))))))))))))))</f>
        <v>+(2×Sneak Rating)</v>
      </c>
      <c r="H25" s="9" t="n">
        <f aca="false">IF(E25="",0,IF(E25="Adaptive",2,IF(E25="Area",N(F25),IF(E25="Chaser",1,IF(E25="Crashguard",N(F25),IF(E25="DINAB",ROUNDUP(N(F25)/2,0),IF(E25="Limit",-1,IF(E25="Noise",-N(F25),IF(E25="Penetration",1,IF(E25="Selective",1,IF(E25="Sneak",2*N(F25),IF(E25="Squeeze",1,IF(E25="Stealth",N(F25),IF(E25="Targeting",2,IF(E25="Armor",2,IF(E25="Cascading IC",3,IF(E25="Expert Defense",1,IF(E25="Expert Offense",1,IF(E25="Party Cluster",3,IF(E25="Shield",2,IF(E25="Shift",2,IF(E25="Trap",N(F25),IF(E25="Self-Coder",N(F25),0)))))))))))))))))))))))</f>
        <v>2</v>
      </c>
      <c r="I25" s="9" t="n">
        <f aca="false">MAX(0,D25+H25)</f>
        <v>8</v>
      </c>
      <c r="J25" s="9" t="n">
        <f aca="false">IF(OR(C25="",I25=""),"",ROUNDUP(C25*I25^2/2,0))</f>
        <v>96</v>
      </c>
      <c r="K25" s="8" t="b">
        <f aca="false">TRUE()</f>
        <v>1</v>
      </c>
      <c r="L25" s="9" t="n">
        <f aca="false">IF(K25,J25,0)</f>
        <v>96</v>
      </c>
      <c r="M25" s="9" t="n">
        <f aca="false">IF(OR(C25="",D25=""),"",C25*D25*(D25+1)*(2*D25+1)/6)</f>
        <v>273</v>
      </c>
      <c r="N25" s="9" t="n">
        <f aca="false">IF(OR(C25="",D25=""),"",C25*(D25*(D25+1)*(2*D25+1)/6+H25*D25*(D25+1)+D25*H25^2))</f>
        <v>597</v>
      </c>
    </row>
    <row r="26" customFormat="false" ht="15" hidden="false" customHeight="false" outlineLevel="0" collapsed="false">
      <c r="A26" s="5" t="s">
        <v>34</v>
      </c>
      <c r="B26" s="5" t="s">
        <v>48</v>
      </c>
      <c r="C26" s="6" t="n">
        <v>2</v>
      </c>
      <c r="D26" s="7" t="n">
        <v>6</v>
      </c>
      <c r="E26" s="8" t="s">
        <v>38</v>
      </c>
      <c r="F26" s="7" t="n">
        <v>1</v>
      </c>
      <c r="G26" s="10" t="str">
        <f aca="false">IF(E26="","None",IF(E26="Adaptive","+2",IF(E26="Area","+Area Rating",IF(E26="Chaser","+1",IF(E26="Crashguard","+Crashguard Rating",IF(E26="DINAB","+ROUNDUP(DINAB Rating/2)",IF(E26="Limit","-1",IF(E26="Noise","-Noise Rating",IF(E26="Penetration","+1",IF(E26="Selective","+1",IF(E26="Sneak","+(2×Sneak Rating)",IF(E26="Squeeze","+1",IF(E26="Stealth","+Stealth Rating",IF(E26="Targeting","+2",IF(E26="Armor","+2",IF(E26="Cascading IC","+3",IF(E26="Expert Defense","+1",IF(E26="Expert Offense","+1",IF(E26="Party Cluster","+3",IF(E26="Shield","+2",IF(E26="Shift","+2",IF(E26="Trap","+1 per linked IC",IF(E26="Self-Coder","+Self-Coder Rating","0")))))))))))))))))))))))</f>
        <v>+(2×Sneak Rating)</v>
      </c>
      <c r="H26" s="9" t="n">
        <f aca="false">IF(E26="",0,IF(E26="Adaptive",2,IF(E26="Area",N(F26),IF(E26="Chaser",1,IF(E26="Crashguard",N(F26),IF(E26="DINAB",ROUNDUP(N(F26)/2,0),IF(E26="Limit",-1,IF(E26="Noise",-N(F26),IF(E26="Penetration",1,IF(E26="Selective",1,IF(E26="Sneak",2*N(F26),IF(E26="Squeeze",1,IF(E26="Stealth",N(F26),IF(E26="Targeting",2,IF(E26="Armor",2,IF(E26="Cascading IC",3,IF(E26="Expert Defense",1,IF(E26="Expert Offense",1,IF(E26="Party Cluster",3,IF(E26="Shield",2,IF(E26="Shift",2,IF(E26="Trap",N(F26),IF(E26="Self-Coder",N(F26),0)))))))))))))))))))))))</f>
        <v>2</v>
      </c>
      <c r="I26" s="9" t="n">
        <f aca="false">MAX(0,D26+H26)</f>
        <v>8</v>
      </c>
      <c r="J26" s="9" t="n">
        <f aca="false">IF(OR(C26="",I26=""),"",ROUNDUP(C26*I26^2/2,0))</f>
        <v>64</v>
      </c>
      <c r="K26" s="8" t="b">
        <f aca="false">TRUE()</f>
        <v>1</v>
      </c>
      <c r="L26" s="9" t="n">
        <f aca="false">IF(K26,J26,0)</f>
        <v>64</v>
      </c>
      <c r="M26" s="9" t="n">
        <f aca="false">IF(OR(C26="",D26=""),"",C26*D26*(D26+1)*(2*D26+1)/6)</f>
        <v>182</v>
      </c>
      <c r="N26" s="9" t="n">
        <f aca="false">IF(OR(C26="",D26=""),"",C26*(D26*(D26+1)*(2*D26+1)/6+H26*D26*(D26+1)+D26*H26^2))</f>
        <v>398</v>
      </c>
    </row>
    <row r="27" customFormat="false" ht="15" hidden="false" customHeight="false" outlineLevel="0" collapsed="false">
      <c r="A27" s="5" t="s">
        <v>34</v>
      </c>
      <c r="B27" s="5" t="s">
        <v>49</v>
      </c>
      <c r="C27" s="6" t="n">
        <v>2</v>
      </c>
      <c r="D27" s="7" t="n">
        <v>6</v>
      </c>
      <c r="E27" s="8" t="s">
        <v>38</v>
      </c>
      <c r="F27" s="7" t="n">
        <v>1</v>
      </c>
      <c r="G27" s="10" t="str">
        <f aca="false">IF(E27="","None",IF(E27="Adaptive","+2",IF(E27="Area","+Area Rating",IF(E27="Chaser","+1",IF(E27="Crashguard","+Crashguard Rating",IF(E27="DINAB","+ROUNDUP(DINAB Rating/2)",IF(E27="Limit","-1",IF(E27="Noise","-Noise Rating",IF(E27="Penetration","+1",IF(E27="Selective","+1",IF(E27="Sneak","+(2×Sneak Rating)",IF(E27="Squeeze","+1",IF(E27="Stealth","+Stealth Rating",IF(E27="Targeting","+2",IF(E27="Armor","+2",IF(E27="Cascading IC","+3",IF(E27="Expert Defense","+1",IF(E27="Expert Offense","+1",IF(E27="Party Cluster","+3",IF(E27="Shield","+2",IF(E27="Shift","+2",IF(E27="Trap","+1 per linked IC",IF(E27="Self-Coder","+Self-Coder Rating","0")))))))))))))))))))))))</f>
        <v>+(2×Sneak Rating)</v>
      </c>
      <c r="H27" s="9" t="n">
        <f aca="false">IF(E27="",0,IF(E27="Adaptive",2,IF(E27="Area",N(F27),IF(E27="Chaser",1,IF(E27="Crashguard",N(F27),IF(E27="DINAB",ROUNDUP(N(F27)/2,0),IF(E27="Limit",-1,IF(E27="Noise",-N(F27),IF(E27="Penetration",1,IF(E27="Selective",1,IF(E27="Sneak",2*N(F27),IF(E27="Squeeze",1,IF(E27="Stealth",N(F27),IF(E27="Targeting",2,IF(E27="Armor",2,IF(E27="Cascading IC",3,IF(E27="Expert Defense",1,IF(E27="Expert Offense",1,IF(E27="Party Cluster",3,IF(E27="Shield",2,IF(E27="Shift",2,IF(E27="Trap",N(F27),IF(E27="Self-Coder",N(F27),0)))))))))))))))))))))))</f>
        <v>2</v>
      </c>
      <c r="I27" s="9" t="n">
        <f aca="false">MAX(0,D27+H27)</f>
        <v>8</v>
      </c>
      <c r="J27" s="9" t="n">
        <f aca="false">IF(OR(C27="",I27=""),"",ROUNDUP(C27*I27^2/2,0))</f>
        <v>64</v>
      </c>
      <c r="K27" s="8" t="b">
        <f aca="false">TRUE()</f>
        <v>1</v>
      </c>
      <c r="L27" s="9" t="n">
        <f aca="false">IF(K27,J27,0)</f>
        <v>64</v>
      </c>
      <c r="M27" s="9" t="n">
        <f aca="false">IF(OR(C27="",D27=""),"",C27*D27*(D27+1)*(2*D27+1)/6)</f>
        <v>182</v>
      </c>
      <c r="N27" s="9" t="n">
        <f aca="false">IF(OR(C27="",D27=""),"",C27*(D27*(D27+1)*(2*D27+1)/6+H27*D27*(D27+1)+D27*H27^2))</f>
        <v>398</v>
      </c>
    </row>
    <row r="28" customFormat="false" ht="15" hidden="false" customHeight="false" outlineLevel="0" collapsed="false">
      <c r="A28" s="5" t="s">
        <v>34</v>
      </c>
      <c r="B28" s="5" t="s">
        <v>50</v>
      </c>
      <c r="C28" s="6" t="n">
        <v>2</v>
      </c>
      <c r="D28" s="7" t="n">
        <v>6</v>
      </c>
      <c r="E28" s="8" t="s">
        <v>38</v>
      </c>
      <c r="F28" s="7" t="n">
        <v>1</v>
      </c>
      <c r="G28" s="10" t="str">
        <f aca="false">IF(E28="","None",IF(E28="Adaptive","+2",IF(E28="Area","+Area Rating",IF(E28="Chaser","+1",IF(E28="Crashguard","+Crashguard Rating",IF(E28="DINAB","+ROUNDUP(DINAB Rating/2)",IF(E28="Limit","-1",IF(E28="Noise","-Noise Rating",IF(E28="Penetration","+1",IF(E28="Selective","+1",IF(E28="Sneak","+(2×Sneak Rating)",IF(E28="Squeeze","+1",IF(E28="Stealth","+Stealth Rating",IF(E28="Targeting","+2",IF(E28="Armor","+2",IF(E28="Cascading IC","+3",IF(E28="Expert Defense","+1",IF(E28="Expert Offense","+1",IF(E28="Party Cluster","+3",IF(E28="Shield","+2",IF(E28="Shift","+2",IF(E28="Trap","+1 per linked IC",IF(E28="Self-Coder","+Self-Coder Rating","0")))))))))))))))))))))))</f>
        <v>+(2×Sneak Rating)</v>
      </c>
      <c r="H28" s="9" t="n">
        <f aca="false">IF(E28="",0,IF(E28="Adaptive",2,IF(E28="Area",N(F28),IF(E28="Chaser",1,IF(E28="Crashguard",N(F28),IF(E28="DINAB",ROUNDUP(N(F28)/2,0),IF(E28="Limit",-1,IF(E28="Noise",-N(F28),IF(E28="Penetration",1,IF(E28="Selective",1,IF(E28="Sneak",2*N(F28),IF(E28="Squeeze",1,IF(E28="Stealth",N(F28),IF(E28="Targeting",2,IF(E28="Armor",2,IF(E28="Cascading IC",3,IF(E28="Expert Defense",1,IF(E28="Expert Offense",1,IF(E28="Party Cluster",3,IF(E28="Shield",2,IF(E28="Shift",2,IF(E28="Trap",N(F28),IF(E28="Self-Coder",N(F28),0)))))))))))))))))))))))</f>
        <v>2</v>
      </c>
      <c r="I28" s="9" t="n">
        <f aca="false">MAX(0,D28+H28)</f>
        <v>8</v>
      </c>
      <c r="J28" s="9" t="n">
        <f aca="false">IF(OR(C28="",I28=""),"",ROUNDUP(C28*I28^2/2,0))</f>
        <v>64</v>
      </c>
      <c r="K28" s="8" t="b">
        <f aca="false">FALSE()</f>
        <v>0</v>
      </c>
      <c r="L28" s="9" t="n">
        <f aca="false">IF(K28,J28,0)</f>
        <v>0</v>
      </c>
      <c r="M28" s="9" t="n">
        <f aca="false">IF(OR(C28="",D28=""),"",C28*D28*(D28+1)*(2*D28+1)/6)</f>
        <v>182</v>
      </c>
      <c r="N28" s="9" t="n">
        <f aca="false">IF(OR(C28="",D28=""),"",C28*(D28*(D28+1)*(2*D28+1)/6+H28*D28*(D28+1)+D28*H28^2))</f>
        <v>398</v>
      </c>
    </row>
    <row r="29" customFormat="false" ht="15" hidden="false" customHeight="false" outlineLevel="0" collapsed="false">
      <c r="A29" s="5" t="s">
        <v>34</v>
      </c>
      <c r="B29" s="5" t="s">
        <v>51</v>
      </c>
      <c r="C29" s="6" t="n">
        <v>2</v>
      </c>
      <c r="D29" s="7" t="n">
        <v>6</v>
      </c>
      <c r="E29" s="8" t="s">
        <v>38</v>
      </c>
      <c r="F29" s="7" t="n">
        <v>1</v>
      </c>
      <c r="G29" s="10" t="str">
        <f aca="false">IF(E29="","None",IF(E29="Adaptive","+2",IF(E29="Area","+Area Rating",IF(E29="Chaser","+1",IF(E29="Crashguard","+Crashguard Rating",IF(E29="DINAB","+ROUNDUP(DINAB Rating/2)",IF(E29="Limit","-1",IF(E29="Noise","-Noise Rating",IF(E29="Penetration","+1",IF(E29="Selective","+1",IF(E29="Sneak","+(2×Sneak Rating)",IF(E29="Squeeze","+1",IF(E29="Stealth","+Stealth Rating",IF(E29="Targeting","+2",IF(E29="Armor","+2",IF(E29="Cascading IC","+3",IF(E29="Expert Defense","+1",IF(E29="Expert Offense","+1",IF(E29="Party Cluster","+3",IF(E29="Shield","+2",IF(E29="Shift","+2",IF(E29="Trap","+1 per linked IC",IF(E29="Self-Coder","+Self-Coder Rating","0")))))))))))))))))))))))</f>
        <v>+(2×Sneak Rating)</v>
      </c>
      <c r="H29" s="9" t="n">
        <f aca="false">IF(E29="",0,IF(E29="Adaptive",2,IF(E29="Area",N(F29),IF(E29="Chaser",1,IF(E29="Crashguard",N(F29),IF(E29="DINAB",ROUNDUP(N(F29)/2,0),IF(E29="Limit",-1,IF(E29="Noise",-N(F29),IF(E29="Penetration",1,IF(E29="Selective",1,IF(E29="Sneak",2*N(F29),IF(E29="Squeeze",1,IF(E29="Stealth",N(F29),IF(E29="Targeting",2,IF(E29="Armor",2,IF(E29="Cascading IC",3,IF(E29="Expert Defense",1,IF(E29="Expert Offense",1,IF(E29="Party Cluster",3,IF(E29="Shield",2,IF(E29="Shift",2,IF(E29="Trap",N(F29),IF(E29="Self-Coder",N(F29),0)))))))))))))))))))))))</f>
        <v>2</v>
      </c>
      <c r="I29" s="9" t="n">
        <f aca="false">MAX(0,D29+H29)</f>
        <v>8</v>
      </c>
      <c r="J29" s="9" t="n">
        <f aca="false">IF(OR(C29="",I29=""),"",ROUNDUP(C29*I29^2/2,0))</f>
        <v>64</v>
      </c>
      <c r="K29" s="8" t="b">
        <f aca="false">TRUE()</f>
        <v>1</v>
      </c>
      <c r="L29" s="9" t="n">
        <f aca="false">IF(K29,J29,0)</f>
        <v>64</v>
      </c>
      <c r="M29" s="9" t="n">
        <f aca="false">IF(OR(C29="",D29=""),"",C29*D29*(D29+1)*(2*D29+1)/6)</f>
        <v>182</v>
      </c>
      <c r="N29" s="9" t="n">
        <f aca="false">IF(OR(C29="",D29=""),"",C29*(D29*(D29+1)*(2*D29+1)/6+H29*D29*(D29+1)+D29*H29^2))</f>
        <v>398</v>
      </c>
    </row>
    <row r="30" customFormat="false" ht="15" hidden="false" customHeight="false" outlineLevel="0" collapsed="false">
      <c r="A30" s="5" t="s">
        <v>34</v>
      </c>
      <c r="B30" s="5" t="s">
        <v>52</v>
      </c>
      <c r="C30" s="6" t="n">
        <v>3</v>
      </c>
      <c r="D30" s="7" t="n">
        <v>6</v>
      </c>
      <c r="E30" s="8" t="s">
        <v>38</v>
      </c>
      <c r="F30" s="7" t="n">
        <v>1</v>
      </c>
      <c r="G30" s="10" t="str">
        <f aca="false">IF(E30="","None",IF(E30="Adaptive","+2",IF(E30="Area","+Area Rating",IF(E30="Chaser","+1",IF(E30="Crashguard","+Crashguard Rating",IF(E30="DINAB","+ROUNDUP(DINAB Rating/2)",IF(E30="Limit","-1",IF(E30="Noise","-Noise Rating",IF(E30="Penetration","+1",IF(E30="Selective","+1",IF(E30="Sneak","+(2×Sneak Rating)",IF(E30="Squeeze","+1",IF(E30="Stealth","+Stealth Rating",IF(E30="Targeting","+2",IF(E30="Armor","+2",IF(E30="Cascading IC","+3",IF(E30="Expert Defense","+1",IF(E30="Expert Offense","+1",IF(E30="Party Cluster","+3",IF(E30="Shield","+2",IF(E30="Shift","+2",IF(E30="Trap","+1 per linked IC",IF(E30="Self-Coder","+Self-Coder Rating","0")))))))))))))))))))))))</f>
        <v>+(2×Sneak Rating)</v>
      </c>
      <c r="H30" s="9" t="n">
        <f aca="false">IF(E30="",0,IF(E30="Adaptive",2,IF(E30="Area",N(F30),IF(E30="Chaser",1,IF(E30="Crashguard",N(F30),IF(E30="DINAB",ROUNDUP(N(F30)/2,0),IF(E30="Limit",-1,IF(E30="Noise",-N(F30),IF(E30="Penetration",1,IF(E30="Selective",1,IF(E30="Sneak",2*N(F30),IF(E30="Squeeze",1,IF(E30="Stealth",N(F30),IF(E30="Targeting",2,IF(E30="Armor",2,IF(E30="Cascading IC",3,IF(E30="Expert Defense",1,IF(E30="Expert Offense",1,IF(E30="Party Cluster",3,IF(E30="Shield",2,IF(E30="Shift",2,IF(E30="Trap",N(F30),IF(E30="Self-Coder",N(F30),0)))))))))))))))))))))))</f>
        <v>2</v>
      </c>
      <c r="I30" s="9" t="n">
        <f aca="false">MAX(0,D30+H30)</f>
        <v>8</v>
      </c>
      <c r="J30" s="9" t="n">
        <f aca="false">IF(OR(C30="",I30=""),"",ROUNDUP(C30*I30^2/2,0))</f>
        <v>96</v>
      </c>
      <c r="K30" s="8" t="b">
        <f aca="false">TRUE()</f>
        <v>1</v>
      </c>
      <c r="L30" s="9" t="n">
        <f aca="false">IF(K30,J30,0)</f>
        <v>96</v>
      </c>
      <c r="M30" s="9" t="n">
        <f aca="false">IF(OR(C30="",D30=""),"",C30*D30*(D30+1)*(2*D30+1)/6)</f>
        <v>273</v>
      </c>
      <c r="N30" s="9" t="n">
        <f aca="false">IF(OR(C30="",D30=""),"",C30*(D30*(D30+1)*(2*D30+1)/6+H30*D30*(D30+1)+D30*H30^2))</f>
        <v>597</v>
      </c>
    </row>
    <row r="31" customFormat="false" ht="15" hidden="false" customHeight="false" outlineLevel="0" collapsed="false">
      <c r="A31" s="5" t="s">
        <v>34</v>
      </c>
      <c r="B31" s="5" t="s">
        <v>52</v>
      </c>
      <c r="C31" s="6" t="n">
        <v>3</v>
      </c>
      <c r="D31" s="7" t="n">
        <v>6</v>
      </c>
      <c r="E31" s="8" t="s">
        <v>18</v>
      </c>
      <c r="F31" s="7" t="n">
        <v>6</v>
      </c>
      <c r="G31" s="10" t="str">
        <f aca="false">IF(E31="","None",IF(E31="Adaptive","+2",IF(E31="Area","+Area Rating",IF(E31="Chaser","+1",IF(E31="Crashguard","+Crashguard Rating",IF(E31="DINAB","+ROUNDUP(DINAB Rating/2)",IF(E31="Limit","-1",IF(E31="Noise","-Noise Rating",IF(E31="Penetration","+1",IF(E31="Selective","+1",IF(E31="Sneak","+(2×Sneak Rating)",IF(E31="Squeeze","+1",IF(E31="Stealth","+Stealth Rating",IF(E31="Targeting","+2",IF(E31="Armor","+2",IF(E31="Cascading IC","+3",IF(E31="Expert Defense","+1",IF(E31="Expert Offense","+1",IF(E31="Party Cluster","+3",IF(E31="Shield","+2",IF(E31="Shift","+2",IF(E31="Trap","+1 per linked IC",IF(E31="Self-Coder","+Self-Coder Rating","0")))))))))))))))))))))))</f>
        <v>+ROUNDUP(DINAB Rating/2)</v>
      </c>
      <c r="H31" s="9" t="n">
        <f aca="false">IF(E31="",0,IF(E31="Adaptive",2,IF(E31="Area",N(F31),IF(E31="Chaser",1,IF(E31="Crashguard",N(F31),IF(E31="DINAB",ROUNDUP(N(F31)/2,0),IF(E31="Limit",-1,IF(E31="Noise",-N(F31),IF(E31="Penetration",1,IF(E31="Selective",1,IF(E31="Sneak",2*N(F31),IF(E31="Squeeze",1,IF(E31="Stealth",N(F31),IF(E31="Targeting",2,IF(E31="Armor",2,IF(E31="Cascading IC",3,IF(E31="Expert Defense",1,IF(E31="Expert Offense",1,IF(E31="Party Cluster",3,IF(E31="Shield",2,IF(E31="Shift",2,IF(E31="Trap",N(F31),IF(E31="Self-Coder",N(F31),0)))))))))))))))))))))))</f>
        <v>3</v>
      </c>
      <c r="I31" s="9" t="n">
        <f aca="false">MAX(0,D31+H31)</f>
        <v>9</v>
      </c>
      <c r="J31" s="9" t="n">
        <f aca="false">IF(OR(C31="",I31=""),"",ROUNDUP(C31*I31^2/2,0))</f>
        <v>122</v>
      </c>
      <c r="K31" s="8" t="b">
        <f aca="false">FALSE()</f>
        <v>0</v>
      </c>
      <c r="L31" s="9" t="n">
        <f aca="false">IF(K31,J31,0)</f>
        <v>0</v>
      </c>
      <c r="M31" s="9" t="n">
        <f aca="false">IF(OR(C31="",D31=""),"",C31*D31*(D31+1)*(2*D31+1)/6)</f>
        <v>273</v>
      </c>
      <c r="N31" s="9" t="n">
        <f aca="false">IF(OR(C31="",D31=""),"",C31*(D31*(D31+1)*(2*D31+1)/6+H31*D31*(D31+1)+D31*H31^2))</f>
        <v>813</v>
      </c>
    </row>
    <row r="32" customFormat="false" ht="15" hidden="false" customHeight="false" outlineLevel="0" collapsed="false">
      <c r="A32" s="5" t="s">
        <v>34</v>
      </c>
      <c r="B32" s="5" t="s">
        <v>53</v>
      </c>
      <c r="C32" s="6" t="n">
        <v>3</v>
      </c>
      <c r="D32" s="7" t="n">
        <v>6</v>
      </c>
      <c r="E32" s="8" t="s">
        <v>38</v>
      </c>
      <c r="F32" s="7" t="n">
        <v>1</v>
      </c>
      <c r="G32" s="10" t="str">
        <f aca="false">IF(E32="","None",IF(E32="Adaptive","+2",IF(E32="Area","+Area Rating",IF(E32="Chaser","+1",IF(E32="Crashguard","+Crashguard Rating",IF(E32="DINAB","+ROUNDUP(DINAB Rating/2)",IF(E32="Limit","-1",IF(E32="Noise","-Noise Rating",IF(E32="Penetration","+1",IF(E32="Selective","+1",IF(E32="Sneak","+(2×Sneak Rating)",IF(E32="Squeeze","+1",IF(E32="Stealth","+Stealth Rating",IF(E32="Targeting","+2",IF(E32="Armor","+2",IF(E32="Cascading IC","+3",IF(E32="Expert Defense","+1",IF(E32="Expert Offense","+1",IF(E32="Party Cluster","+3",IF(E32="Shield","+2",IF(E32="Shift","+2",IF(E32="Trap","+1 per linked IC",IF(E32="Self-Coder","+Self-Coder Rating","0")))))))))))))))))))))))</f>
        <v>+(2×Sneak Rating)</v>
      </c>
      <c r="H32" s="9" t="n">
        <f aca="false">IF(E32="",0,IF(E32="Adaptive",2,IF(E32="Area",N(F32),IF(E32="Chaser",1,IF(E32="Crashguard",N(F32),IF(E32="DINAB",ROUNDUP(N(F32)/2,0),IF(E32="Limit",-1,IF(E32="Noise",-N(F32),IF(E32="Penetration",1,IF(E32="Selective",1,IF(E32="Sneak",2*N(F32),IF(E32="Squeeze",1,IF(E32="Stealth",N(F32),IF(E32="Targeting",2,IF(E32="Armor",2,IF(E32="Cascading IC",3,IF(E32="Expert Defense",1,IF(E32="Expert Offense",1,IF(E32="Party Cluster",3,IF(E32="Shield",2,IF(E32="Shift",2,IF(E32="Trap",N(F32),IF(E32="Self-Coder",N(F32),0)))))))))))))))))))))))</f>
        <v>2</v>
      </c>
      <c r="I32" s="9" t="n">
        <f aca="false">MAX(0,D32+H32)</f>
        <v>8</v>
      </c>
      <c r="J32" s="9" t="n">
        <f aca="false">IF(OR(C32="",I32=""),"",ROUNDUP(C32*I32^2/2,0))</f>
        <v>96</v>
      </c>
      <c r="K32" s="8" t="b">
        <f aca="false">TRUE()</f>
        <v>1</v>
      </c>
      <c r="L32" s="9" t="n">
        <f aca="false">IF(K32,J32,0)</f>
        <v>96</v>
      </c>
      <c r="M32" s="9" t="n">
        <f aca="false">IF(OR(C32="",D32=""),"",C32*D32*(D32+1)*(2*D32+1)/6)</f>
        <v>273</v>
      </c>
      <c r="N32" s="9" t="n">
        <f aca="false">IF(OR(C32="",D32=""),"",C32*(D32*(D32+1)*(2*D32+1)/6+H32*D32*(D32+1)+D32*H32^2))</f>
        <v>597</v>
      </c>
    </row>
    <row r="33" customFormat="false" ht="15" hidden="false" customHeight="false" outlineLevel="0" collapsed="false">
      <c r="A33" s="5" t="s">
        <v>34</v>
      </c>
      <c r="B33" s="5" t="s">
        <v>54</v>
      </c>
      <c r="C33" s="6" t="n">
        <v>2</v>
      </c>
      <c r="D33" s="7" t="n">
        <v>6</v>
      </c>
      <c r="E33" s="8" t="s">
        <v>38</v>
      </c>
      <c r="F33" s="7" t="n">
        <v>1</v>
      </c>
      <c r="G33" s="10" t="str">
        <f aca="false">IF(E33="","None",IF(E33="Adaptive","+2",IF(E33="Area","+Area Rating",IF(E33="Chaser","+1",IF(E33="Crashguard","+Crashguard Rating",IF(E33="DINAB","+ROUNDUP(DINAB Rating/2)",IF(E33="Limit","-1",IF(E33="Noise","-Noise Rating",IF(E33="Penetration","+1",IF(E33="Selective","+1",IF(E33="Sneak","+(2×Sneak Rating)",IF(E33="Squeeze","+1",IF(E33="Stealth","+Stealth Rating",IF(E33="Targeting","+2",IF(E33="Armor","+2",IF(E33="Cascading IC","+3",IF(E33="Expert Defense","+1",IF(E33="Expert Offense","+1",IF(E33="Party Cluster","+3",IF(E33="Shield","+2",IF(E33="Shift","+2",IF(E33="Trap","+1 per linked IC",IF(E33="Self-Coder","+Self-Coder Rating","0")))))))))))))))))))))))</f>
        <v>+(2×Sneak Rating)</v>
      </c>
      <c r="H33" s="9" t="n">
        <f aca="false">IF(E33="",0,IF(E33="Adaptive",2,IF(E33="Area",N(F33),IF(E33="Chaser",1,IF(E33="Crashguard",N(F33),IF(E33="DINAB",ROUNDUP(N(F33)/2,0),IF(E33="Limit",-1,IF(E33="Noise",-N(F33),IF(E33="Penetration",1,IF(E33="Selective",1,IF(E33="Sneak",2*N(F33),IF(E33="Squeeze",1,IF(E33="Stealth",N(F33),IF(E33="Targeting",2,IF(E33="Armor",2,IF(E33="Cascading IC",3,IF(E33="Expert Defense",1,IF(E33="Expert Offense",1,IF(E33="Party Cluster",3,IF(E33="Shield",2,IF(E33="Shift",2,IF(E33="Trap",N(F33),IF(E33="Self-Coder",N(F33),0)))))))))))))))))))))))</f>
        <v>2</v>
      </c>
      <c r="I33" s="9" t="n">
        <f aca="false">MAX(0,D33+H33)</f>
        <v>8</v>
      </c>
      <c r="J33" s="9" t="n">
        <f aca="false">IF(OR(C33="",I33=""),"",ROUNDUP(C33*I33^2/2,0))</f>
        <v>64</v>
      </c>
      <c r="K33" s="8" t="b">
        <f aca="false">TRUE()</f>
        <v>1</v>
      </c>
      <c r="L33" s="9" t="n">
        <f aca="false">IF(K33,J33,0)</f>
        <v>64</v>
      </c>
      <c r="M33" s="9" t="n">
        <f aca="false">IF(OR(C33="",D33=""),"",C33*D33*(D33+1)*(2*D33+1)/6)</f>
        <v>182</v>
      </c>
      <c r="N33" s="9" t="n">
        <f aca="false">IF(OR(C33="",D33=""),"",C33*(D33*(D33+1)*(2*D33+1)/6+H33*D33*(D33+1)+D33*H33^2))</f>
        <v>398</v>
      </c>
    </row>
    <row r="34" customFormat="false" ht="15" hidden="false" customHeight="false" outlineLevel="0" collapsed="false">
      <c r="A34" s="5" t="s">
        <v>34</v>
      </c>
      <c r="B34" s="5" t="s">
        <v>55</v>
      </c>
      <c r="C34" s="6" t="n">
        <v>3</v>
      </c>
      <c r="D34" s="7" t="n">
        <v>6</v>
      </c>
      <c r="E34" s="8" t="s">
        <v>38</v>
      </c>
      <c r="F34" s="7" t="n">
        <v>1</v>
      </c>
      <c r="G34" s="10" t="str">
        <f aca="false">IF(E34="","None",IF(E34="Adaptive","+2",IF(E34="Area","+Area Rating",IF(E34="Chaser","+1",IF(E34="Crashguard","+Crashguard Rating",IF(E34="DINAB","+ROUNDUP(DINAB Rating/2)",IF(E34="Limit","-1",IF(E34="Noise","-Noise Rating",IF(E34="Penetration","+1",IF(E34="Selective","+1",IF(E34="Sneak","+(2×Sneak Rating)",IF(E34="Squeeze","+1",IF(E34="Stealth","+Stealth Rating",IF(E34="Targeting","+2",IF(E34="Armor","+2",IF(E34="Cascading IC","+3",IF(E34="Expert Defense","+1",IF(E34="Expert Offense","+1",IF(E34="Party Cluster","+3",IF(E34="Shield","+2",IF(E34="Shift","+2",IF(E34="Trap","+1 per linked IC",IF(E34="Self-Coder","+Self-Coder Rating","0")))))))))))))))))))))))</f>
        <v>+(2×Sneak Rating)</v>
      </c>
      <c r="H34" s="9" t="n">
        <f aca="false">IF(E34="",0,IF(E34="Adaptive",2,IF(E34="Area",N(F34),IF(E34="Chaser",1,IF(E34="Crashguard",N(F34),IF(E34="DINAB",ROUNDUP(N(F34)/2,0),IF(E34="Limit",-1,IF(E34="Noise",-N(F34),IF(E34="Penetration",1,IF(E34="Selective",1,IF(E34="Sneak",2*N(F34),IF(E34="Squeeze",1,IF(E34="Stealth",N(F34),IF(E34="Targeting",2,IF(E34="Armor",2,IF(E34="Cascading IC",3,IF(E34="Expert Defense",1,IF(E34="Expert Offense",1,IF(E34="Party Cluster",3,IF(E34="Shield",2,IF(E34="Shift",2,IF(E34="Trap",N(F34),IF(E34="Self-Coder",N(F34),0)))))))))))))))))))))))</f>
        <v>2</v>
      </c>
      <c r="I34" s="9" t="n">
        <f aca="false">MAX(0,D34+H34)</f>
        <v>8</v>
      </c>
      <c r="J34" s="9" t="n">
        <f aca="false">IF(OR(C34="",I34=""),"",ROUNDUP(C34*I34^2/2,0))</f>
        <v>96</v>
      </c>
      <c r="K34" s="8" t="b">
        <f aca="false">TRUE()</f>
        <v>1</v>
      </c>
      <c r="L34" s="9" t="n">
        <f aca="false">IF(K34,J34,0)</f>
        <v>96</v>
      </c>
      <c r="M34" s="9" t="n">
        <f aca="false">IF(OR(C34="",D34=""),"",C34*D34*(D34+1)*(2*D34+1)/6)</f>
        <v>273</v>
      </c>
      <c r="N34" s="9" t="n">
        <f aca="false">IF(OR(C34="",D34=""),"",C34*(D34*(D34+1)*(2*D34+1)/6+H34*D34*(D34+1)+D34*H34^2))</f>
        <v>597</v>
      </c>
    </row>
    <row r="35" customFormat="false" ht="15" hidden="false" customHeight="false" outlineLevel="0" collapsed="false">
      <c r="A35" s="5" t="s">
        <v>34</v>
      </c>
      <c r="B35" s="5" t="s">
        <v>56</v>
      </c>
      <c r="C35" s="6" t="n">
        <v>3</v>
      </c>
      <c r="D35" s="7" t="n">
        <v>6</v>
      </c>
      <c r="E35" s="8" t="s">
        <v>38</v>
      </c>
      <c r="F35" s="7" t="n">
        <v>1</v>
      </c>
      <c r="G35" s="10" t="str">
        <f aca="false">IF(E35="","None",IF(E35="Adaptive","+2",IF(E35="Area","+Area Rating",IF(E35="Chaser","+1",IF(E35="Crashguard","+Crashguard Rating",IF(E35="DINAB","+ROUNDUP(DINAB Rating/2)",IF(E35="Limit","-1",IF(E35="Noise","-Noise Rating",IF(E35="Penetration","+1",IF(E35="Selective","+1",IF(E35="Sneak","+(2×Sneak Rating)",IF(E35="Squeeze","+1",IF(E35="Stealth","+Stealth Rating",IF(E35="Targeting","+2",IF(E35="Armor","+2",IF(E35="Cascading IC","+3",IF(E35="Expert Defense","+1",IF(E35="Expert Offense","+1",IF(E35="Party Cluster","+3",IF(E35="Shield","+2",IF(E35="Shift","+2",IF(E35="Trap","+1 per linked IC",IF(E35="Self-Coder","+Self-Coder Rating","0")))))))))))))))))))))))</f>
        <v>+(2×Sneak Rating)</v>
      </c>
      <c r="H35" s="9" t="n">
        <f aca="false">IF(E35="",0,IF(E35="Adaptive",2,IF(E35="Area",N(F35),IF(E35="Chaser",1,IF(E35="Crashguard",N(F35),IF(E35="DINAB",ROUNDUP(N(F35)/2,0),IF(E35="Limit",-1,IF(E35="Noise",-N(F35),IF(E35="Penetration",1,IF(E35="Selective",1,IF(E35="Sneak",2*N(F35),IF(E35="Squeeze",1,IF(E35="Stealth",N(F35),IF(E35="Targeting",2,IF(E35="Armor",2,IF(E35="Cascading IC",3,IF(E35="Expert Defense",1,IF(E35="Expert Offense",1,IF(E35="Party Cluster",3,IF(E35="Shield",2,IF(E35="Shift",2,IF(E35="Trap",N(F35),IF(E35="Self-Coder",N(F35),0)))))))))))))))))))))))</f>
        <v>2</v>
      </c>
      <c r="I35" s="9" t="n">
        <f aca="false">MAX(0,D35+H35)</f>
        <v>8</v>
      </c>
      <c r="J35" s="9" t="n">
        <f aca="false">IF(OR(C35="",I35=""),"",ROUNDUP(C35*I35^2/2,0))</f>
        <v>96</v>
      </c>
      <c r="K35" s="8" t="b">
        <f aca="false">TRUE()</f>
        <v>1</v>
      </c>
      <c r="L35" s="9" t="n">
        <f aca="false">IF(K35,J35,0)</f>
        <v>96</v>
      </c>
      <c r="M35" s="9" t="n">
        <f aca="false">IF(OR(C35="",D35=""),"",C35*D35*(D35+1)*(2*D35+1)/6)</f>
        <v>273</v>
      </c>
      <c r="N35" s="9" t="n">
        <f aca="false">IF(OR(C35="",D35=""),"",C35*(D35*(D35+1)*(2*D35+1)/6+H35*D35*(D35+1)+D35*H35^2))</f>
        <v>597</v>
      </c>
    </row>
    <row r="36" customFormat="false" ht="15" hidden="false" customHeight="false" outlineLevel="0" collapsed="false">
      <c r="A36" s="5" t="s">
        <v>34</v>
      </c>
      <c r="B36" s="5" t="s">
        <v>57</v>
      </c>
      <c r="C36" s="6" t="n">
        <v>2</v>
      </c>
      <c r="D36" s="7" t="n">
        <v>6</v>
      </c>
      <c r="E36" s="8" t="s">
        <v>38</v>
      </c>
      <c r="F36" s="7" t="n">
        <v>1</v>
      </c>
      <c r="G36" s="10" t="str">
        <f aca="false">IF(E36="","None",IF(E36="Adaptive","+2",IF(E36="Area","+Area Rating",IF(E36="Chaser","+1",IF(E36="Crashguard","+Crashguard Rating",IF(E36="DINAB","+ROUNDUP(DINAB Rating/2)",IF(E36="Limit","-1",IF(E36="Noise","-Noise Rating",IF(E36="Penetration","+1",IF(E36="Selective","+1",IF(E36="Sneak","+(2×Sneak Rating)",IF(E36="Squeeze","+1",IF(E36="Stealth","+Stealth Rating",IF(E36="Targeting","+2",IF(E36="Armor","+2",IF(E36="Cascading IC","+3",IF(E36="Expert Defense","+1",IF(E36="Expert Offense","+1",IF(E36="Party Cluster","+3",IF(E36="Shield","+2",IF(E36="Shift","+2",IF(E36="Trap","+1 per linked IC",IF(E36="Self-Coder","+Self-Coder Rating","0")))))))))))))))))))))))</f>
        <v>+(2×Sneak Rating)</v>
      </c>
      <c r="H36" s="9" t="n">
        <f aca="false">IF(E36="",0,IF(E36="Adaptive",2,IF(E36="Area",N(F36),IF(E36="Chaser",1,IF(E36="Crashguard",N(F36),IF(E36="DINAB",ROUNDUP(N(F36)/2,0),IF(E36="Limit",-1,IF(E36="Noise",-N(F36),IF(E36="Penetration",1,IF(E36="Selective",1,IF(E36="Sneak",2*N(F36),IF(E36="Squeeze",1,IF(E36="Stealth",N(F36),IF(E36="Targeting",2,IF(E36="Armor",2,IF(E36="Cascading IC",3,IF(E36="Expert Defense",1,IF(E36="Expert Offense",1,IF(E36="Party Cluster",3,IF(E36="Shield",2,IF(E36="Shift",2,IF(E36="Trap",N(F36),IF(E36="Self-Coder",N(F36),0)))))))))))))))))))))))</f>
        <v>2</v>
      </c>
      <c r="I36" s="9" t="n">
        <f aca="false">MAX(0,D36+H36)</f>
        <v>8</v>
      </c>
      <c r="J36" s="9" t="n">
        <f aca="false">IF(OR(C36="",I36=""),"",ROUNDUP(C36*I36^2/2,0))</f>
        <v>64</v>
      </c>
      <c r="K36" s="8" t="b">
        <f aca="false">TRUE()</f>
        <v>1</v>
      </c>
      <c r="L36" s="9" t="n">
        <f aca="false">IF(K36,J36,0)</f>
        <v>64</v>
      </c>
      <c r="M36" s="9" t="n">
        <f aca="false">IF(OR(C36="",D36=""),"",C36*D36*(D36+1)*(2*D36+1)/6)</f>
        <v>182</v>
      </c>
      <c r="N36" s="9" t="n">
        <f aca="false">IF(OR(C36="",D36=""),"",C36*(D36*(D36+1)*(2*D36+1)/6+H36*D36*(D36+1)+D36*H36^2))</f>
        <v>398</v>
      </c>
    </row>
    <row r="37" customFormat="false" ht="15" hidden="false" customHeight="false" outlineLevel="0" collapsed="false">
      <c r="A37" s="5" t="s">
        <v>34</v>
      </c>
      <c r="B37" s="5" t="s">
        <v>58</v>
      </c>
      <c r="C37" s="6" t="n">
        <v>4</v>
      </c>
      <c r="D37" s="7" t="n">
        <v>6</v>
      </c>
      <c r="E37" s="8" t="s">
        <v>38</v>
      </c>
      <c r="F37" s="7" t="n">
        <v>1</v>
      </c>
      <c r="G37" s="10" t="str">
        <f aca="false">IF(E37="","None",IF(E37="Adaptive","+2",IF(E37="Area","+Area Rating",IF(E37="Chaser","+1",IF(E37="Crashguard","+Crashguard Rating",IF(E37="DINAB","+ROUNDUP(DINAB Rating/2)",IF(E37="Limit","-1",IF(E37="Noise","-Noise Rating",IF(E37="Penetration","+1",IF(E37="Selective","+1",IF(E37="Sneak","+(2×Sneak Rating)",IF(E37="Squeeze","+1",IF(E37="Stealth","+Stealth Rating",IF(E37="Targeting","+2",IF(E37="Armor","+2",IF(E37="Cascading IC","+3",IF(E37="Expert Defense","+1",IF(E37="Expert Offense","+1",IF(E37="Party Cluster","+3",IF(E37="Shield","+2",IF(E37="Shift","+2",IF(E37="Trap","+1 per linked IC",IF(E37="Self-Coder","+Self-Coder Rating","0")))))))))))))))))))))))</f>
        <v>+(2×Sneak Rating)</v>
      </c>
      <c r="H37" s="9" t="n">
        <f aca="false">IF(E37="",0,IF(E37="Adaptive",2,IF(E37="Area",N(F37),IF(E37="Chaser",1,IF(E37="Crashguard",N(F37),IF(E37="DINAB",ROUNDUP(N(F37)/2,0),IF(E37="Limit",-1,IF(E37="Noise",-N(F37),IF(E37="Penetration",1,IF(E37="Selective",1,IF(E37="Sneak",2*N(F37),IF(E37="Squeeze",1,IF(E37="Stealth",N(F37),IF(E37="Targeting",2,IF(E37="Armor",2,IF(E37="Cascading IC",3,IF(E37="Expert Defense",1,IF(E37="Expert Offense",1,IF(E37="Party Cluster",3,IF(E37="Shield",2,IF(E37="Shift",2,IF(E37="Trap",N(F37),IF(E37="Self-Coder",N(F37),0)))))))))))))))))))))))</f>
        <v>2</v>
      </c>
      <c r="I37" s="9" t="n">
        <f aca="false">MAX(0,D37+H37)</f>
        <v>8</v>
      </c>
      <c r="J37" s="9" t="n">
        <f aca="false">IF(OR(C37="",I37=""),"",ROUNDUP(C37*I37^2/2,0))</f>
        <v>128</v>
      </c>
      <c r="K37" s="8" t="b">
        <f aca="false">FALSE()</f>
        <v>0</v>
      </c>
      <c r="L37" s="9" t="n">
        <f aca="false">IF(K37,J37,0)</f>
        <v>0</v>
      </c>
      <c r="M37" s="9" t="n">
        <f aca="false">IF(OR(C37="",D37=""),"",C37*D37*(D37+1)*(2*D37+1)/6)</f>
        <v>364</v>
      </c>
      <c r="N37" s="9" t="n">
        <f aca="false">IF(OR(C37="",D37=""),"",C37*(D37*(D37+1)*(2*D37+1)/6+H37*D37*(D37+1)+D37*H37^2))</f>
        <v>796</v>
      </c>
    </row>
    <row r="38" customFormat="false" ht="15" hidden="false" customHeight="false" outlineLevel="0" collapsed="false">
      <c r="A38" s="5" t="s">
        <v>59</v>
      </c>
      <c r="B38" s="5" t="s">
        <v>60</v>
      </c>
      <c r="C38" s="6" t="n">
        <v>5</v>
      </c>
      <c r="D38" s="7" t="n">
        <v>6</v>
      </c>
      <c r="E38" s="8"/>
      <c r="F38" s="7"/>
      <c r="G38" s="10" t="str">
        <f aca="false">IF(E38="","None",IF(E38="Adaptive","+2",IF(E38="Area","+Area Rating",IF(E38="Chaser","+1",IF(E38="Crashguard","+Crashguard Rating",IF(E38="DINAB","+ROUNDUP(DINAB Rating/2)",IF(E38="Limit","-1",IF(E38="Noise","-Noise Rating",IF(E38="Penetration","+1",IF(E38="Selective","+1",IF(E38="Sneak","+(2×Sneak Rating)",IF(E38="Squeeze","+1",IF(E38="Stealth","+Stealth Rating",IF(E38="Targeting","+2",IF(E38="Armor","+2",IF(E38="Cascading IC","+3",IF(E38="Expert Defense","+1",IF(E38="Expert Offense","+1",IF(E38="Party Cluster","+3",IF(E38="Shield","+2",IF(E38="Shift","+2",IF(E38="Trap","+1 per linked IC",IF(E38="Self-Coder","+Self-Coder Rating","0")))))))))))))))))))))))</f>
        <v>None</v>
      </c>
      <c r="H38" s="9" t="n">
        <f aca="false">IF(E38="",0,IF(E38="Adaptive",2,IF(E38="Area",N(F38),IF(E38="Chaser",1,IF(E38="Crashguard",N(F38),IF(E38="DINAB",ROUNDUP(N(F38)/2,0),IF(E38="Limit",-1,IF(E38="Noise",-N(F38),IF(E38="Penetration",1,IF(E38="Selective",1,IF(E38="Sneak",2*N(F38),IF(E38="Squeeze",1,IF(E38="Stealth",N(F38),IF(E38="Targeting",2,IF(E38="Armor",2,IF(E38="Cascading IC",3,IF(E38="Expert Defense",1,IF(E38="Expert Offense",1,IF(E38="Party Cluster",3,IF(E38="Shield",2,IF(E38="Shift",2,IF(E38="Trap",N(F38),IF(E38="Self-Coder",N(F38),0)))))))))))))))))))))))</f>
        <v>0</v>
      </c>
      <c r="I38" s="9" t="n">
        <f aca="false">MAX(0,D38+H38)</f>
        <v>6</v>
      </c>
      <c r="J38" s="9" t="n">
        <f aca="false">IF(OR(C38="",I38=""),"",ROUNDUP(C38*I38^2/2,0))</f>
        <v>90</v>
      </c>
      <c r="K38" s="8" t="b">
        <f aca="false">TRUE()</f>
        <v>1</v>
      </c>
      <c r="L38" s="9" t="n">
        <f aca="false">IF(K38,J38,0)</f>
        <v>90</v>
      </c>
      <c r="M38" s="9" t="n">
        <f aca="false">IF(OR(C38="",D38=""),"",C38*D38*(D38+1)*(2*D38+1)/6)</f>
        <v>455</v>
      </c>
      <c r="N38" s="9" t="n">
        <f aca="false">IF(OR(C38="",D38=""),"",C38*(D38*(D38+1)*(2*D38+1)/6+H38*D38*(D38+1)+D38*H38^2))</f>
        <v>455</v>
      </c>
    </row>
    <row r="39" customFormat="false" ht="15" hidden="false" customHeight="false" outlineLevel="0" collapsed="false">
      <c r="A39" s="5" t="s">
        <v>59</v>
      </c>
      <c r="B39" s="5" t="s">
        <v>61</v>
      </c>
      <c r="C39" s="6" t="n">
        <v>1</v>
      </c>
      <c r="D39" s="7" t="n">
        <v>6</v>
      </c>
      <c r="E39" s="8"/>
      <c r="F39" s="7"/>
      <c r="G39" s="10" t="str">
        <f aca="false">IF(E39="","None",IF(E39="Adaptive","+2",IF(E39="Area","+Area Rating",IF(E39="Chaser","+1",IF(E39="Crashguard","+Crashguard Rating",IF(E39="DINAB","+ROUNDUP(DINAB Rating/2)",IF(E39="Limit","-1",IF(E39="Noise","-Noise Rating",IF(E39="Penetration","+1",IF(E39="Selective","+1",IF(E39="Sneak","+(2×Sneak Rating)",IF(E39="Squeeze","+1",IF(E39="Stealth","+Stealth Rating",IF(E39="Targeting","+2",IF(E39="Armor","+2",IF(E39="Cascading IC","+3",IF(E39="Expert Defense","+1",IF(E39="Expert Offense","+1",IF(E39="Party Cluster","+3",IF(E39="Shield","+2",IF(E39="Shift","+2",IF(E39="Trap","+1 per linked IC",IF(E39="Self-Coder","+Self-Coder Rating","0")))))))))))))))))))))))</f>
        <v>None</v>
      </c>
      <c r="H39" s="9" t="n">
        <f aca="false">IF(E39="",0,IF(E39="Adaptive",2,IF(E39="Area",N(F39),IF(E39="Chaser",1,IF(E39="Crashguard",N(F39),IF(E39="DINAB",ROUNDUP(N(F39)/2,0),IF(E39="Limit",-1,IF(E39="Noise",-N(F39),IF(E39="Penetration",1,IF(E39="Selective",1,IF(E39="Sneak",2*N(F39),IF(E39="Squeeze",1,IF(E39="Stealth",N(F39),IF(E39="Targeting",2,IF(E39="Armor",2,IF(E39="Cascading IC",3,IF(E39="Expert Defense",1,IF(E39="Expert Offense",1,IF(E39="Party Cluster",3,IF(E39="Shield",2,IF(E39="Shift",2,IF(E39="Trap",N(F39),IF(E39="Self-Coder",N(F39),0)))))))))))))))))))))))</f>
        <v>0</v>
      </c>
      <c r="I39" s="9" t="n">
        <f aca="false">MAX(0,D39+H39)</f>
        <v>6</v>
      </c>
      <c r="J39" s="9" t="n">
        <f aca="false">IF(OR(C39="",I39=""),"",ROUNDUP(C39*I39^2/2,0))</f>
        <v>18</v>
      </c>
      <c r="K39" s="8" t="b">
        <f aca="false">TRUE()</f>
        <v>1</v>
      </c>
      <c r="L39" s="9" t="n">
        <f aca="false">IF(K39,J39,0)</f>
        <v>18</v>
      </c>
      <c r="M39" s="9" t="n">
        <f aca="false">IF(OR(C39="",D39=""),"",C39*D39*(D39+1)*(2*D39+1)/6)</f>
        <v>91</v>
      </c>
      <c r="N39" s="9" t="n">
        <f aca="false">IF(OR(C39="",D39=""),"",C39*(D39*(D39+1)*(2*D39+1)/6+H39*D39*(D39+1)+D39*H39^2))</f>
        <v>91</v>
      </c>
    </row>
    <row r="40" customFormat="false" ht="15" hidden="false" customHeight="false" outlineLevel="0" collapsed="false">
      <c r="A40" s="5" t="s">
        <v>59</v>
      </c>
      <c r="B40" s="5" t="s">
        <v>62</v>
      </c>
      <c r="C40" s="6" t="n">
        <v>2</v>
      </c>
      <c r="D40" s="7" t="n">
        <v>6</v>
      </c>
      <c r="E40" s="8"/>
      <c r="F40" s="7"/>
      <c r="G40" s="10" t="str">
        <f aca="false">IF(E40="","None",IF(E40="Adaptive","+2",IF(E40="Area","+Area Rating",IF(E40="Chaser","+1",IF(E40="Crashguard","+Crashguard Rating",IF(E40="DINAB","+ROUNDUP(DINAB Rating/2)",IF(E40="Limit","-1",IF(E40="Noise","-Noise Rating",IF(E40="Penetration","+1",IF(E40="Selective","+1",IF(E40="Sneak","+(2×Sneak Rating)",IF(E40="Squeeze","+1",IF(E40="Stealth","+Stealth Rating",IF(E40="Targeting","+2",IF(E40="Armor","+2",IF(E40="Cascading IC","+3",IF(E40="Expert Defense","+1",IF(E40="Expert Offense","+1",IF(E40="Party Cluster","+3",IF(E40="Shield","+2",IF(E40="Shift","+2",IF(E40="Trap","+1 per linked IC",IF(E40="Self-Coder","+Self-Coder Rating","0")))))))))))))))))))))))</f>
        <v>None</v>
      </c>
      <c r="H40" s="9" t="n">
        <f aca="false">IF(E40="",0,IF(E40="Adaptive",2,IF(E40="Area",N(F40),IF(E40="Chaser",1,IF(E40="Crashguard",N(F40),IF(E40="DINAB",ROUNDUP(N(F40)/2,0),IF(E40="Limit",-1,IF(E40="Noise",-N(F40),IF(E40="Penetration",1,IF(E40="Selective",1,IF(E40="Sneak",2*N(F40),IF(E40="Squeeze",1,IF(E40="Stealth",N(F40),IF(E40="Targeting",2,IF(E40="Armor",2,IF(E40="Cascading IC",3,IF(E40="Expert Defense",1,IF(E40="Expert Offense",1,IF(E40="Party Cluster",3,IF(E40="Shield",2,IF(E40="Shift",2,IF(E40="Trap",N(F40),IF(E40="Self-Coder",N(F40),0)))))))))))))))))))))))</f>
        <v>0</v>
      </c>
      <c r="I40" s="9" t="n">
        <f aca="false">MAX(0,D40+H40)</f>
        <v>6</v>
      </c>
      <c r="J40" s="9" t="n">
        <f aca="false">IF(OR(C40="",I40=""),"",ROUNDUP(C40*I40^2/2,0))</f>
        <v>36</v>
      </c>
      <c r="K40" s="8" t="b">
        <f aca="false">TRUE()</f>
        <v>1</v>
      </c>
      <c r="L40" s="9" t="n">
        <f aca="false">IF(K40,J40,0)</f>
        <v>36</v>
      </c>
      <c r="M40" s="9" t="n">
        <f aca="false">IF(OR(C40="",D40=""),"",C40*D40*(D40+1)*(2*D40+1)/6)</f>
        <v>182</v>
      </c>
      <c r="N40" s="9" t="n">
        <f aca="false">IF(OR(C40="",D40=""),"",C40*(D40*(D40+1)*(2*D40+1)/6+H40*D40*(D40+1)+D40*H40^2))</f>
        <v>182</v>
      </c>
    </row>
    <row r="41" customFormat="false" ht="15" hidden="false" customHeight="false" outlineLevel="0" collapsed="false">
      <c r="A41" s="5" t="s">
        <v>59</v>
      </c>
      <c r="B41" s="5" t="s">
        <v>63</v>
      </c>
      <c r="C41" s="11" t="n">
        <v>6</v>
      </c>
      <c r="D41" s="7" t="n">
        <v>6</v>
      </c>
      <c r="E41" s="8"/>
      <c r="F41" s="7"/>
      <c r="G41" s="10" t="str">
        <f aca="false">IF(E41="","None",IF(E41="Adaptive","+2",IF(E41="Area","+Area Rating",IF(E41="Chaser","+1",IF(E41="Crashguard","+Crashguard Rating",IF(E41="DINAB","+ROUNDUP(DINAB Rating/2)",IF(E41="Limit","-1",IF(E41="Noise","-Noise Rating",IF(E41="Penetration","+1",IF(E41="Selective","+1",IF(E41="Sneak","+(2×Sneak Rating)",IF(E41="Squeeze","+1",IF(E41="Stealth","+Stealth Rating",IF(E41="Targeting","+2",IF(E41="Armor","+2",IF(E41="Cascading IC","+3",IF(E41="Expert Defense","+1",IF(E41="Expert Offense","+1",IF(E41="Party Cluster","+3",IF(E41="Shield","+2",IF(E41="Shift","+2",IF(E41="Trap","+1 per linked IC",IF(E41="Self-Coder","+Self-Coder Rating","0")))))))))))))))))))))))</f>
        <v>None</v>
      </c>
      <c r="H41" s="9" t="n">
        <f aca="false">IF(E41="",0,IF(E41="Adaptive",2,IF(E41="Area",N(F41),IF(E41="Chaser",1,IF(E41="Crashguard",N(F41),IF(E41="DINAB",ROUNDUP(N(F41)/2,0),IF(E41="Limit",-1,IF(E41="Noise",-N(F41),IF(E41="Penetration",1,IF(E41="Selective",1,IF(E41="Sneak",2*N(F41),IF(E41="Squeeze",1,IF(E41="Stealth",N(F41),IF(E41="Targeting",2,IF(E41="Armor",2,IF(E41="Cascading IC",3,IF(E41="Expert Defense",1,IF(E41="Expert Offense",1,IF(E41="Party Cluster",3,IF(E41="Shield",2,IF(E41="Shift",2,IF(E41="Trap",N(F41),IF(E41="Self-Coder",N(F41),0)))))))))))))))))))))))</f>
        <v>0</v>
      </c>
      <c r="I41" s="9" t="n">
        <f aca="false">MAX(0,D41+H41)</f>
        <v>6</v>
      </c>
      <c r="J41" s="12" t="n">
        <f aca="false">IF(OR(C41="",I41=""),"",ROUNDUP(C41*I41^2/2,0))</f>
        <v>108</v>
      </c>
      <c r="K41" s="8" t="b">
        <f aca="false">FALSE()</f>
        <v>0</v>
      </c>
      <c r="L41" s="9" t="n">
        <f aca="false">IF(K41,J41,0)</f>
        <v>0</v>
      </c>
      <c r="M41" s="12" t="n">
        <f aca="false">IF(OR(C41="",D41=""),"",C41*D41*(D41+1)*(2*D41+1)/6)</f>
        <v>546</v>
      </c>
      <c r="N41" s="12" t="n">
        <f aca="false">IF(OR(C41="",D41=""),"",C41*(D41*(D41+1)*(2*D41+1)/6+H41*D41*(D41+1)+D41*H41^2))</f>
        <v>546</v>
      </c>
    </row>
    <row r="42" customFormat="false" ht="15" hidden="false" customHeight="false" outlineLevel="0" collapsed="false">
      <c r="A42" s="5" t="s">
        <v>59</v>
      </c>
      <c r="B42" s="5" t="s">
        <v>63</v>
      </c>
      <c r="C42" s="11" t="n">
        <v>6</v>
      </c>
      <c r="D42" s="7" t="n">
        <v>6</v>
      </c>
      <c r="E42" s="8" t="s">
        <v>18</v>
      </c>
      <c r="F42" s="7" t="n">
        <v>6</v>
      </c>
      <c r="G42" s="10" t="str">
        <f aca="false">IF(E42="","None",IF(E42="Adaptive","+2",IF(E42="Area","+Area Rating",IF(E42="Chaser","+1",IF(E42="Crashguard","+Crashguard Rating",IF(E42="DINAB","+ROUNDUP(DINAB Rating/2)",IF(E42="Limit","-1",IF(E42="Noise","-Noise Rating",IF(E42="Penetration","+1",IF(E42="Selective","+1",IF(E42="Sneak","+(2×Sneak Rating)",IF(E42="Squeeze","+1",IF(E42="Stealth","+Stealth Rating",IF(E42="Targeting","+2",IF(E42="Armor","+2",IF(E42="Cascading IC","+3",IF(E42="Expert Defense","+1",IF(E42="Expert Offense","+1",IF(E42="Party Cluster","+3",IF(E42="Shield","+2",IF(E42="Shift","+2",IF(E42="Trap","+1 per linked IC",IF(E42="Self-Coder","+Self-Coder Rating","0")))))))))))))))))))))))</f>
        <v>+ROUNDUP(DINAB Rating/2)</v>
      </c>
      <c r="H42" s="9" t="n">
        <f aca="false">IF(E42="",0,IF(E42="Adaptive",2,IF(E42="Area",N(F42),IF(E42="Chaser",1,IF(E42="Crashguard",N(F42),IF(E42="DINAB",ROUNDUP(N(F42)/2,0),IF(E42="Limit",-1,IF(E42="Noise",-N(F42),IF(E42="Penetration",1,IF(E42="Selective",1,IF(E42="Sneak",2*N(F42),IF(E42="Squeeze",1,IF(E42="Stealth",N(F42),IF(E42="Targeting",2,IF(E42="Armor",2,IF(E42="Cascading IC",3,IF(E42="Expert Defense",1,IF(E42="Expert Offense",1,IF(E42="Party Cluster",3,IF(E42="Shield",2,IF(E42="Shift",2,IF(E42="Trap",N(F42),IF(E42="Self-Coder",N(F42),0)))))))))))))))))))))))</f>
        <v>3</v>
      </c>
      <c r="I42" s="9" t="n">
        <f aca="false">MAX(0,D42+H42)</f>
        <v>9</v>
      </c>
      <c r="J42" s="12" t="n">
        <f aca="false">IF(OR(C42="",I42=""),"",ROUNDUP(C42*I42^2/2,0))</f>
        <v>243</v>
      </c>
      <c r="K42" s="8" t="b">
        <f aca="false">FALSE()</f>
        <v>0</v>
      </c>
      <c r="L42" s="9" t="n">
        <f aca="false">IF(K42,J42,0)</f>
        <v>0</v>
      </c>
      <c r="M42" s="12" t="n">
        <f aca="false">IF(OR(C42="",D42=""),"",C42*D42*(D42+1)*(2*D42+1)/6)</f>
        <v>546</v>
      </c>
      <c r="N42" s="12" t="n">
        <f aca="false">IF(OR(C42="",D42=""),"",C42*(D42*(D42+1)*(2*D42+1)/6+H42*D42*(D42+1)+D42*H42^2))</f>
        <v>1626</v>
      </c>
    </row>
    <row r="43" customFormat="false" ht="15" hidden="false" customHeight="false" outlineLevel="0" collapsed="false">
      <c r="A43" s="5" t="s">
        <v>59</v>
      </c>
      <c r="B43" s="5" t="s">
        <v>64</v>
      </c>
      <c r="C43" s="6" t="n">
        <v>2</v>
      </c>
      <c r="D43" s="7" t="n">
        <v>6</v>
      </c>
      <c r="E43" s="8"/>
      <c r="F43" s="7"/>
      <c r="G43" s="10" t="str">
        <f aca="false">IF(E43="","None",IF(E43="Adaptive","+2",IF(E43="Area","+Area Rating",IF(E43="Chaser","+1",IF(E43="Crashguard","+Crashguard Rating",IF(E43="DINAB","+ROUNDUP(DINAB Rating/2)",IF(E43="Limit","-1",IF(E43="Noise","-Noise Rating",IF(E43="Penetration","+1",IF(E43="Selective","+1",IF(E43="Sneak","+(2×Sneak Rating)",IF(E43="Squeeze","+1",IF(E43="Stealth","+Stealth Rating",IF(E43="Targeting","+2",IF(E43="Armor","+2",IF(E43="Cascading IC","+3",IF(E43="Expert Defense","+1",IF(E43="Expert Offense","+1",IF(E43="Party Cluster","+3",IF(E43="Shield","+2",IF(E43="Shift","+2",IF(E43="Trap","+1 per linked IC",IF(E43="Self-Coder","+Self-Coder Rating","0")))))))))))))))))))))))</f>
        <v>None</v>
      </c>
      <c r="H43" s="9" t="n">
        <f aca="false">IF(E43="",0,IF(E43="Adaptive",2,IF(E43="Area",N(F43),IF(E43="Chaser",1,IF(E43="Crashguard",N(F43),IF(E43="DINAB",ROUNDUP(N(F43)/2,0),IF(E43="Limit",-1,IF(E43="Noise",-N(F43),IF(E43="Penetration",1,IF(E43="Selective",1,IF(E43="Sneak",2*N(F43),IF(E43="Squeeze",1,IF(E43="Stealth",N(F43),IF(E43="Targeting",2,IF(E43="Armor",2,IF(E43="Cascading IC",3,IF(E43="Expert Defense",1,IF(E43="Expert Offense",1,IF(E43="Party Cluster",3,IF(E43="Shield",2,IF(E43="Shift",2,IF(E43="Trap",N(F43),IF(E43="Self-Coder",N(F43),0)))))))))))))))))))))))</f>
        <v>0</v>
      </c>
      <c r="I43" s="9" t="n">
        <f aca="false">MAX(0,D43+H43)</f>
        <v>6</v>
      </c>
      <c r="J43" s="9" t="n">
        <f aca="false">IF(OR(C43="",I43=""),"",ROUNDUP(C43*I43^2/2,0))</f>
        <v>36</v>
      </c>
      <c r="K43" s="8" t="b">
        <f aca="false">FALSE()</f>
        <v>0</v>
      </c>
      <c r="L43" s="9" t="n">
        <f aca="false">IF(K43,J43,0)</f>
        <v>0</v>
      </c>
      <c r="M43" s="9" t="n">
        <f aca="false">IF(OR(C43="",D43=""),"",C43*D43*(D43+1)*(2*D43+1)/6)</f>
        <v>182</v>
      </c>
      <c r="N43" s="9" t="n">
        <f aca="false">IF(OR(C43="",D43=""),"",C43*(D43*(D43+1)*(2*D43+1)/6+H43*D43*(D43+1)+D43*H43^2))</f>
        <v>182</v>
      </c>
    </row>
    <row r="44" customFormat="false" ht="15" hidden="false" customHeight="false" outlineLevel="0" collapsed="false">
      <c r="A44" s="5" t="s">
        <v>59</v>
      </c>
      <c r="B44" s="5" t="s">
        <v>65</v>
      </c>
      <c r="C44" s="6" t="n">
        <v>1</v>
      </c>
      <c r="D44" s="7" t="n">
        <v>6</v>
      </c>
      <c r="E44" s="8"/>
      <c r="F44" s="7"/>
      <c r="G44" s="10" t="str">
        <f aca="false">IF(E44="","None",IF(E44="Adaptive","+2",IF(E44="Area","+Area Rating",IF(E44="Chaser","+1",IF(E44="Crashguard","+Crashguard Rating",IF(E44="DINAB","+ROUNDUP(DINAB Rating/2)",IF(E44="Limit","-1",IF(E44="Noise","-Noise Rating",IF(E44="Penetration","+1",IF(E44="Selective","+1",IF(E44="Sneak","+(2×Sneak Rating)",IF(E44="Squeeze","+1",IF(E44="Stealth","+Stealth Rating",IF(E44="Targeting","+2",IF(E44="Armor","+2",IF(E44="Cascading IC","+3",IF(E44="Expert Defense","+1",IF(E44="Expert Offense","+1",IF(E44="Party Cluster","+3",IF(E44="Shield","+2",IF(E44="Shift","+2",IF(E44="Trap","+1 per linked IC",IF(E44="Self-Coder","+Self-Coder Rating","0")))))))))))))))))))))))</f>
        <v>None</v>
      </c>
      <c r="H44" s="9" t="n">
        <f aca="false">IF(E44="",0,IF(E44="Adaptive",2,IF(E44="Area",N(F44),IF(E44="Chaser",1,IF(E44="Crashguard",N(F44),IF(E44="DINAB",ROUNDUP(N(F44)/2,0),IF(E44="Limit",-1,IF(E44="Noise",-N(F44),IF(E44="Penetration",1,IF(E44="Selective",1,IF(E44="Sneak",2*N(F44),IF(E44="Squeeze",1,IF(E44="Stealth",N(F44),IF(E44="Targeting",2,IF(E44="Armor",2,IF(E44="Cascading IC",3,IF(E44="Expert Defense",1,IF(E44="Expert Offense",1,IF(E44="Party Cluster",3,IF(E44="Shield",2,IF(E44="Shift",2,IF(E44="Trap",N(F44),IF(E44="Self-Coder",N(F44),0)))))))))))))))))))))))</f>
        <v>0</v>
      </c>
      <c r="I44" s="9" t="n">
        <f aca="false">MAX(0,D44+H44)</f>
        <v>6</v>
      </c>
      <c r="J44" s="9" t="n">
        <f aca="false">IF(OR(C44="",I44=""),"",ROUNDUP(C44*I44^2/2,0))</f>
        <v>18</v>
      </c>
      <c r="K44" s="8" t="b">
        <f aca="false">FALSE()</f>
        <v>0</v>
      </c>
      <c r="L44" s="9" t="n">
        <f aca="false">IF(K44,J44,0)</f>
        <v>0</v>
      </c>
      <c r="M44" s="9" t="n">
        <f aca="false">IF(OR(C44="",D44=""),"",C44*D44*(D44+1)*(2*D44+1)/6)</f>
        <v>91</v>
      </c>
      <c r="N44" s="9" t="n">
        <f aca="false">IF(OR(C44="",D44=""),"",C44*(D44*(D44+1)*(2*D44+1)/6+H44*D44*(D44+1)+D44*H44^2))</f>
        <v>91</v>
      </c>
    </row>
    <row r="45" customFormat="false" ht="15" hidden="false" customHeight="false" outlineLevel="0" collapsed="false">
      <c r="A45" s="5" t="s">
        <v>59</v>
      </c>
      <c r="B45" s="5" t="s">
        <v>66</v>
      </c>
      <c r="C45" s="6" t="n">
        <v>1</v>
      </c>
      <c r="D45" s="7" t="n">
        <v>6</v>
      </c>
      <c r="E45" s="8"/>
      <c r="F45" s="7"/>
      <c r="G45" s="10" t="str">
        <f aca="false">IF(E45="","None",IF(E45="Adaptive","+2",IF(E45="Area","+Area Rating",IF(E45="Chaser","+1",IF(E45="Crashguard","+Crashguard Rating",IF(E45="DINAB","+ROUNDUP(DINAB Rating/2)",IF(E45="Limit","-1",IF(E45="Noise","-Noise Rating",IF(E45="Penetration","+1",IF(E45="Selective","+1",IF(E45="Sneak","+(2×Sneak Rating)",IF(E45="Squeeze","+1",IF(E45="Stealth","+Stealth Rating",IF(E45="Targeting","+2",IF(E45="Armor","+2",IF(E45="Cascading IC","+3",IF(E45="Expert Defense","+1",IF(E45="Expert Offense","+1",IF(E45="Party Cluster","+3",IF(E45="Shield","+2",IF(E45="Shift","+2",IF(E45="Trap","+1 per linked IC",IF(E45="Self-Coder","+Self-Coder Rating","0")))))))))))))))))))))))</f>
        <v>None</v>
      </c>
      <c r="H45" s="9" t="n">
        <f aca="false">IF(E45="",0,IF(E45="Adaptive",2,IF(E45="Area",N(F45),IF(E45="Chaser",1,IF(E45="Crashguard",N(F45),IF(E45="DINAB",ROUNDUP(N(F45)/2,0),IF(E45="Limit",-1,IF(E45="Noise",-N(F45),IF(E45="Penetration",1,IF(E45="Selective",1,IF(E45="Sneak",2*N(F45),IF(E45="Squeeze",1,IF(E45="Stealth",N(F45),IF(E45="Targeting",2,IF(E45="Armor",2,IF(E45="Cascading IC",3,IF(E45="Expert Defense",1,IF(E45="Expert Offense",1,IF(E45="Party Cluster",3,IF(E45="Shield",2,IF(E45="Shift",2,IF(E45="Trap",N(F45),IF(E45="Self-Coder",N(F45),0)))))))))))))))))))))))</f>
        <v>0</v>
      </c>
      <c r="I45" s="9" t="n">
        <f aca="false">MAX(0,D45+H45)</f>
        <v>6</v>
      </c>
      <c r="J45" s="9" t="n">
        <f aca="false">IF(OR(C45="",I45=""),"",ROUNDUP(C45*I45^2/2,0))</f>
        <v>18</v>
      </c>
      <c r="K45" s="8" t="b">
        <f aca="false">FALSE()</f>
        <v>0</v>
      </c>
      <c r="L45" s="9" t="n">
        <f aca="false">IF(K45,J45,0)</f>
        <v>0</v>
      </c>
      <c r="M45" s="9" t="n">
        <f aca="false">IF(OR(C45="",D45=""),"",C45*D45*(D45+1)*(2*D45+1)/6)</f>
        <v>91</v>
      </c>
      <c r="N45" s="9" t="n">
        <f aca="false">IF(OR(C45="",D45=""),"",C45*(D45*(D45+1)*(2*D45+1)/6+H45*D45*(D45+1)+D45*H45^2))</f>
        <v>91</v>
      </c>
    </row>
    <row r="46" customFormat="false" ht="15" hidden="false" customHeight="false" outlineLevel="0" collapsed="false">
      <c r="A46" s="5" t="s">
        <v>59</v>
      </c>
      <c r="B46" s="5" t="s">
        <v>67</v>
      </c>
      <c r="C46" s="11" t="n">
        <v>15</v>
      </c>
      <c r="D46" s="7" t="n">
        <v>6</v>
      </c>
      <c r="E46" s="8" t="s">
        <v>68</v>
      </c>
      <c r="F46" s="7" t="n">
        <v>6</v>
      </c>
      <c r="G46" s="10" t="str">
        <f aca="false">IF(E46="","None",IF(E46="Adaptive","+2",IF(E46="Area","+Area Rating",IF(E46="Chaser","+1",IF(E46="Crashguard","+Crashguard Rating",IF(E46="DINAB","+ROUNDUP(DINAB Rating/2)",IF(E46="Limit","-1",IF(E46="Noise","-Noise Rating",IF(E46="Penetration","+1",IF(E46="Selective","+1",IF(E46="Sneak","+(2×Sneak Rating)",IF(E46="Squeeze","+1",IF(E46="Stealth","+Stealth Rating",IF(E46="Targeting","+2",IF(E46="Armor","+2",IF(E46="Cascading IC","+3",IF(E46="Expert Defense","+1",IF(E46="Expert Offense","+1",IF(E46="Party Cluster","+3",IF(E46="Shield","+2",IF(E46="Shift","+2",IF(E46="Trap","+1 per linked IC",IF(E46="Self-Coder","+Self-Coder Rating","0")))))))))))))))))))))))</f>
        <v>+Self-Coder Rating</v>
      </c>
      <c r="H46" s="9" t="n">
        <f aca="false">IF(E46="",0,IF(E46="Adaptive",2,IF(E46="Area",N(F46),IF(E46="Chaser",1,IF(E46="Crashguard",N(F46),IF(E46="DINAB",ROUNDUP(N(F46)/2,0),IF(E46="Limit",-1,IF(E46="Noise",-N(F46),IF(E46="Penetration",1,IF(E46="Selective",1,IF(E46="Sneak",2*N(F46),IF(E46="Squeeze",1,IF(E46="Stealth",N(F46),IF(E46="Targeting",2,IF(E46="Armor",2,IF(E46="Cascading IC",3,IF(E46="Expert Defense",1,IF(E46="Expert Offense",1,IF(E46="Party Cluster",3,IF(E46="Shield",2,IF(E46="Shift",2,IF(E46="Trap",N(F46),IF(E46="Self-Coder",N(F46),0)))))))))))))))))))))))</f>
        <v>6</v>
      </c>
      <c r="I46" s="9" t="n">
        <f aca="false">MAX(0,D46+H46)</f>
        <v>12</v>
      </c>
      <c r="J46" s="12" t="n">
        <f aca="false">IF(OR(C46="",I46=""),"",ROUNDUP(C46*I46^2/2,0))</f>
        <v>1080</v>
      </c>
      <c r="K46" s="8" t="b">
        <f aca="false">FALSE()</f>
        <v>0</v>
      </c>
      <c r="L46" s="9" t="n">
        <f aca="false">IF(K46,J46,0)</f>
        <v>0</v>
      </c>
      <c r="M46" s="12" t="n">
        <f aca="false">IF(OR(C46="",D46=""),"",C46*D46*(D46+1)*(2*D46+1)/6)</f>
        <v>1365</v>
      </c>
      <c r="N46" s="12" t="n">
        <f aca="false">IF(OR(C46="",D46=""),"",C46*(D46*(D46+1)*(2*D46+1)/6+H46*D46*(D46+1)+D46*H46^2))</f>
        <v>8385</v>
      </c>
    </row>
    <row r="47" customFormat="false" ht="15" hidden="false" customHeight="false" outlineLevel="0" collapsed="false">
      <c r="A47" s="5" t="s">
        <v>59</v>
      </c>
      <c r="B47" s="5" t="s">
        <v>69</v>
      </c>
      <c r="C47" s="6" t="n">
        <v>1</v>
      </c>
      <c r="D47" s="7" t="n">
        <v>6</v>
      </c>
      <c r="E47" s="8"/>
      <c r="F47" s="7"/>
      <c r="G47" s="10" t="str">
        <f aca="false">IF(E47="","None",IF(E47="Adaptive","+2",IF(E47="Area","+Area Rating",IF(E47="Chaser","+1",IF(E47="Crashguard","+Crashguard Rating",IF(E47="DINAB","+ROUNDUP(DINAB Rating/2)",IF(E47="Limit","-1",IF(E47="Noise","-Noise Rating",IF(E47="Penetration","+1",IF(E47="Selective","+1",IF(E47="Sneak","+(2×Sneak Rating)",IF(E47="Squeeze","+1",IF(E47="Stealth","+Stealth Rating",IF(E47="Targeting","+2",IF(E47="Armor","+2",IF(E47="Cascading IC","+3",IF(E47="Expert Defense","+1",IF(E47="Expert Offense","+1",IF(E47="Party Cluster","+3",IF(E47="Shield","+2",IF(E47="Shift","+2",IF(E47="Trap","+1 per linked IC",IF(E47="Self-Coder","+Self-Coder Rating","0")))))))))))))))))))))))</f>
        <v>None</v>
      </c>
      <c r="H47" s="9" t="n">
        <f aca="false">IF(E47="",0,IF(E47="Adaptive",2,IF(E47="Area",N(F47),IF(E47="Chaser",1,IF(E47="Crashguard",N(F47),IF(E47="DINAB",ROUNDUP(N(F47)/2,0),IF(E47="Limit",-1,IF(E47="Noise",-N(F47),IF(E47="Penetration",1,IF(E47="Selective",1,IF(E47="Sneak",2*N(F47),IF(E47="Squeeze",1,IF(E47="Stealth",N(F47),IF(E47="Targeting",2,IF(E47="Armor",2,IF(E47="Cascading IC",3,IF(E47="Expert Defense",1,IF(E47="Expert Offense",1,IF(E47="Party Cluster",3,IF(E47="Shield",2,IF(E47="Shift",2,IF(E47="Trap",N(F47),IF(E47="Self-Coder",N(F47),0)))))))))))))))))))))))</f>
        <v>0</v>
      </c>
      <c r="I47" s="9" t="n">
        <f aca="false">MAX(0,D47+H47)</f>
        <v>6</v>
      </c>
      <c r="J47" s="9" t="n">
        <f aca="false">IF(OR(C47="",I47=""),"",ROUNDUP(C47*I47^2/2,0))</f>
        <v>18</v>
      </c>
      <c r="K47" s="8" t="b">
        <f aca="false">FALSE()</f>
        <v>0</v>
      </c>
      <c r="L47" s="9" t="n">
        <f aca="false">IF(K47,J47,0)</f>
        <v>0</v>
      </c>
      <c r="M47" s="9" t="n">
        <f aca="false">IF(OR(C47="",D47=""),"",C47*D47*(D47+1)*(2*D47+1)/6)</f>
        <v>91</v>
      </c>
      <c r="N47" s="9" t="n">
        <f aca="false">IF(OR(C47="",D47=""),"",C47*(D47*(D47+1)*(2*D47+1)/6+H47*D47*(D47+1)+D47*H47^2))</f>
        <v>91</v>
      </c>
    </row>
    <row r="48" customFormat="false" ht="15" hidden="false" customHeight="false" outlineLevel="0" collapsed="false">
      <c r="A48" s="5" t="s">
        <v>59</v>
      </c>
      <c r="B48" s="5" t="s">
        <v>70</v>
      </c>
      <c r="C48" s="6" t="n">
        <v>3</v>
      </c>
      <c r="D48" s="7" t="n">
        <v>6</v>
      </c>
      <c r="E48" s="8"/>
      <c r="F48" s="7"/>
      <c r="G48" s="10" t="str">
        <f aca="false">IF(E48="","None",IF(E48="Adaptive","+2",IF(E48="Area","+Area Rating",IF(E48="Chaser","+1",IF(E48="Crashguard","+Crashguard Rating",IF(E48="DINAB","+ROUNDUP(DINAB Rating/2)",IF(E48="Limit","-1",IF(E48="Noise","-Noise Rating",IF(E48="Penetration","+1",IF(E48="Selective","+1",IF(E48="Sneak","+(2×Sneak Rating)",IF(E48="Squeeze","+1",IF(E48="Stealth","+Stealth Rating",IF(E48="Targeting","+2",IF(E48="Armor","+2",IF(E48="Cascading IC","+3",IF(E48="Expert Defense","+1",IF(E48="Expert Offense","+1",IF(E48="Party Cluster","+3",IF(E48="Shield","+2",IF(E48="Shift","+2",IF(E48="Trap","+1 per linked IC",IF(E48="Self-Coder","+Self-Coder Rating","0")))))))))))))))))))))))</f>
        <v>None</v>
      </c>
      <c r="H48" s="9" t="n">
        <f aca="false">IF(E48="",0,IF(E48="Adaptive",2,IF(E48="Area",N(F48),IF(E48="Chaser",1,IF(E48="Crashguard",N(F48),IF(E48="DINAB",ROUNDUP(N(F48)/2,0),IF(E48="Limit",-1,IF(E48="Noise",-N(F48),IF(E48="Penetration",1,IF(E48="Selective",1,IF(E48="Sneak",2*N(F48),IF(E48="Squeeze",1,IF(E48="Stealth",N(F48),IF(E48="Targeting",2,IF(E48="Armor",2,IF(E48="Cascading IC",3,IF(E48="Expert Defense",1,IF(E48="Expert Offense",1,IF(E48="Party Cluster",3,IF(E48="Shield",2,IF(E48="Shift",2,IF(E48="Trap",N(F48),IF(E48="Self-Coder",N(F48),0)))))))))))))))))))))))</f>
        <v>0</v>
      </c>
      <c r="I48" s="9" t="n">
        <f aca="false">MAX(0,D48+H48)</f>
        <v>6</v>
      </c>
      <c r="J48" s="9" t="n">
        <f aca="false">IF(OR(C48="",I48=""),"",ROUNDUP(C48*I48^2/2,0))</f>
        <v>54</v>
      </c>
      <c r="K48" s="8" t="b">
        <f aca="false">FALSE()</f>
        <v>0</v>
      </c>
      <c r="L48" s="9" t="n">
        <f aca="false">IF(K48,J48,0)</f>
        <v>0</v>
      </c>
      <c r="M48" s="9" t="n">
        <f aca="false">IF(OR(C48="",D48=""),"",C48*D48*(D48+1)*(2*D48+1)/6)</f>
        <v>273</v>
      </c>
      <c r="N48" s="9" t="n">
        <f aca="false">IF(OR(C48="",D48=""),"",C48*(D48*(D48+1)*(2*D48+1)/6+H48*D48*(D48+1)+D48*H48^2))</f>
        <v>273</v>
      </c>
    </row>
    <row r="49" customFormat="false" ht="15" hidden="false" customHeight="false" outlineLevel="0" collapsed="false">
      <c r="A49" s="5" t="s">
        <v>59</v>
      </c>
      <c r="B49" s="5" t="s">
        <v>71</v>
      </c>
      <c r="C49" s="6" t="n">
        <v>2</v>
      </c>
      <c r="D49" s="7" t="n">
        <v>6</v>
      </c>
      <c r="E49" s="8"/>
      <c r="F49" s="7"/>
      <c r="G49" s="10" t="str">
        <f aca="false">IF(E49="","None",IF(E49="Adaptive","+2",IF(E49="Area","+Area Rating",IF(E49="Chaser","+1",IF(E49="Crashguard","+Crashguard Rating",IF(E49="DINAB","+ROUNDUP(DINAB Rating/2)",IF(E49="Limit","-1",IF(E49="Noise","-Noise Rating",IF(E49="Penetration","+1",IF(E49="Selective","+1",IF(E49="Sneak","+(2×Sneak Rating)",IF(E49="Squeeze","+1",IF(E49="Stealth","+Stealth Rating",IF(E49="Targeting","+2",IF(E49="Armor","+2",IF(E49="Cascading IC","+3",IF(E49="Expert Defense","+1",IF(E49="Expert Offense","+1",IF(E49="Party Cluster","+3",IF(E49="Shield","+2",IF(E49="Shift","+2",IF(E49="Trap","+1 per linked IC",IF(E49="Self-Coder","+Self-Coder Rating","0")))))))))))))))))))))))</f>
        <v>None</v>
      </c>
      <c r="H49" s="9" t="n">
        <f aca="false">IF(E49="",0,IF(E49="Adaptive",2,IF(E49="Area",N(F49),IF(E49="Chaser",1,IF(E49="Crashguard",N(F49),IF(E49="DINAB",ROUNDUP(N(F49)/2,0),IF(E49="Limit",-1,IF(E49="Noise",-N(F49),IF(E49="Penetration",1,IF(E49="Selective",1,IF(E49="Sneak",2*N(F49),IF(E49="Squeeze",1,IF(E49="Stealth",N(F49),IF(E49="Targeting",2,IF(E49="Armor",2,IF(E49="Cascading IC",3,IF(E49="Expert Defense",1,IF(E49="Expert Offense",1,IF(E49="Party Cluster",3,IF(E49="Shield",2,IF(E49="Shift",2,IF(E49="Trap",N(F49),IF(E49="Self-Coder",N(F49),0)))))))))))))))))))))))</f>
        <v>0</v>
      </c>
      <c r="I49" s="9" t="n">
        <f aca="false">MAX(0,D49+H49)</f>
        <v>6</v>
      </c>
      <c r="J49" s="9" t="n">
        <f aca="false">IF(OR(C49="",I49=""),"",ROUNDUP(C49*I49^2/2,0))</f>
        <v>36</v>
      </c>
      <c r="K49" s="8" t="b">
        <f aca="false">FALSE()</f>
        <v>0</v>
      </c>
      <c r="L49" s="9" t="n">
        <f aca="false">IF(K49,J49,0)</f>
        <v>0</v>
      </c>
      <c r="M49" s="9" t="n">
        <f aca="false">IF(OR(C49="",D49=""),"",C49*D49*(D49+1)*(2*D49+1)/6)</f>
        <v>182</v>
      </c>
      <c r="N49" s="9" t="n">
        <f aca="false">IF(OR(C49="",D49=""),"",C49*(D49*(D49+1)*(2*D49+1)/6+H49*D49*(D49+1)+D49*H49^2))</f>
        <v>182</v>
      </c>
    </row>
    <row r="50" customFormat="false" ht="15" hidden="false" customHeight="false" outlineLevel="0" collapsed="false">
      <c r="A50" s="5" t="s">
        <v>59</v>
      </c>
      <c r="B50" s="5" t="s">
        <v>72</v>
      </c>
      <c r="C50" s="6" t="n">
        <v>3</v>
      </c>
      <c r="D50" s="7" t="n">
        <v>12</v>
      </c>
      <c r="E50" s="8"/>
      <c r="F50" s="7"/>
      <c r="G50" s="10" t="str">
        <f aca="false">IF(E50="","None",IF(E50="Adaptive","+2",IF(E50="Area","+Area Rating",IF(E50="Chaser","+1",IF(E50="Crashguard","+Crashguard Rating",IF(E50="DINAB","+ROUNDUP(DINAB Rating/2)",IF(E50="Limit","-1",IF(E50="Noise","-Noise Rating",IF(E50="Penetration","+1",IF(E50="Selective","+1",IF(E50="Sneak","+(2×Sneak Rating)",IF(E50="Squeeze","+1",IF(E50="Stealth","+Stealth Rating",IF(E50="Targeting","+2",IF(E50="Armor","+2",IF(E50="Cascading IC","+3",IF(E50="Expert Defense","+1",IF(E50="Expert Offense","+1",IF(E50="Party Cluster","+3",IF(E50="Shield","+2",IF(E50="Shift","+2",IF(E50="Trap","+1 per linked IC",IF(E50="Self-Coder","+Self-Coder Rating","0")))))))))))))))))))))))</f>
        <v>None</v>
      </c>
      <c r="H50" s="9" t="n">
        <f aca="false">IF(E50="",0,IF(E50="Adaptive",2,IF(E50="Area",N(F50),IF(E50="Chaser",1,IF(E50="Crashguard",N(F50),IF(E50="DINAB",ROUNDUP(N(F50)/2,0),IF(E50="Limit",-1,IF(E50="Noise",-N(F50),IF(E50="Penetration",1,IF(E50="Selective",1,IF(E50="Sneak",2*N(F50),IF(E50="Squeeze",1,IF(E50="Stealth",N(F50),IF(E50="Targeting",2,IF(E50="Armor",2,IF(E50="Cascading IC",3,IF(E50="Expert Defense",1,IF(E50="Expert Offense",1,IF(E50="Party Cluster",3,IF(E50="Shield",2,IF(E50="Shift",2,IF(E50="Trap",N(F50),IF(E50="Self-Coder",N(F50),0)))))))))))))))))))))))</f>
        <v>0</v>
      </c>
      <c r="I50" s="9" t="n">
        <f aca="false">MAX(0,D50+H50)</f>
        <v>12</v>
      </c>
      <c r="J50" s="9" t="n">
        <f aca="false">IF(OR(C50="",I50=""),"",ROUNDUP(C50*I50^2/2,0))</f>
        <v>216</v>
      </c>
      <c r="K50" s="8" t="b">
        <f aca="false">TRUE()</f>
        <v>1</v>
      </c>
      <c r="L50" s="9" t="n">
        <f aca="false">IF(K50,J50,0)</f>
        <v>216</v>
      </c>
      <c r="M50" s="9" t="n">
        <f aca="false">IF(OR(C50="",D50=""),"",C50*D50*(D50+1)*(2*D50+1)/6)</f>
        <v>1950</v>
      </c>
      <c r="N50" s="9" t="n">
        <f aca="false">IF(OR(C50="",D50=""),"",C50*(D50*(D50+1)*(2*D50+1)/6+H50*D50*(D50+1)+D50*H50^2))</f>
        <v>1950</v>
      </c>
    </row>
    <row r="51" customFormat="false" ht="15" hidden="false" customHeight="false" outlineLevel="0" collapsed="false">
      <c r="A51" s="5" t="s">
        <v>59</v>
      </c>
      <c r="B51" s="5" t="s">
        <v>73</v>
      </c>
      <c r="C51" s="6" t="n">
        <v>8</v>
      </c>
      <c r="D51" s="7" t="n">
        <v>6</v>
      </c>
      <c r="E51" s="8"/>
      <c r="F51" s="7"/>
      <c r="G51" s="10" t="str">
        <f aca="false">IF(E51="","None",IF(E51="Adaptive","+2",IF(E51="Area","+Area Rating",IF(E51="Chaser","+1",IF(E51="Crashguard","+Crashguard Rating",IF(E51="DINAB","+ROUNDUP(DINAB Rating/2)",IF(E51="Limit","-1",IF(E51="Noise","-Noise Rating",IF(E51="Penetration","+1",IF(E51="Selective","+1",IF(E51="Sneak","+(2×Sneak Rating)",IF(E51="Squeeze","+1",IF(E51="Stealth","+Stealth Rating",IF(E51="Targeting","+2",IF(E51="Armor","+2",IF(E51="Cascading IC","+3",IF(E51="Expert Defense","+1",IF(E51="Expert Offense","+1",IF(E51="Party Cluster","+3",IF(E51="Shield","+2",IF(E51="Shift","+2",IF(E51="Trap","+1 per linked IC",IF(E51="Self-Coder","+Self-Coder Rating","0")))))))))))))))))))))))</f>
        <v>None</v>
      </c>
      <c r="H51" s="9" t="n">
        <f aca="false">IF(E51="",0,IF(E51="Adaptive",2,IF(E51="Area",N(F51),IF(E51="Chaser",1,IF(E51="Crashguard",N(F51),IF(E51="DINAB",ROUNDUP(N(F51)/2,0),IF(E51="Limit",-1,IF(E51="Noise",-N(F51),IF(E51="Penetration",1,IF(E51="Selective",1,IF(E51="Sneak",2*N(F51),IF(E51="Squeeze",1,IF(E51="Stealth",N(F51),IF(E51="Targeting",2,IF(E51="Armor",2,IF(E51="Cascading IC",3,IF(E51="Expert Defense",1,IF(E51="Expert Offense",1,IF(E51="Party Cluster",3,IF(E51="Shield",2,IF(E51="Shift",2,IF(E51="Trap",N(F51),IF(E51="Self-Coder",N(F51),0)))))))))))))))))))))))</f>
        <v>0</v>
      </c>
      <c r="I51" s="9" t="n">
        <f aca="false">MAX(0,D51+H51)</f>
        <v>6</v>
      </c>
      <c r="J51" s="9" t="n">
        <f aca="false">IF(OR(C51="",I51=""),"",ROUNDUP(C51*I51^2/2,0))</f>
        <v>144</v>
      </c>
      <c r="K51" s="8" t="b">
        <f aca="false">FALSE()</f>
        <v>0</v>
      </c>
      <c r="L51" s="9" t="n">
        <f aca="false">IF(K51,J51,0)</f>
        <v>0</v>
      </c>
      <c r="M51" s="9" t="n">
        <f aca="false">IF(OR(C51="",D51=""),"",C51*D51*(D51+1)*(2*D51+1)/6)</f>
        <v>728</v>
      </c>
      <c r="N51" s="9" t="n">
        <f aca="false">IF(OR(C51="",D51=""),"",C51*(D51*(D51+1)*(2*D51+1)/6+H51*D51*(D51+1)+D51*H51^2))</f>
        <v>728</v>
      </c>
    </row>
  </sheetData>
  <autoFilter ref="A1:N1"/>
  <dataValidations count="3">
    <dataValidation allowBlank="true" errorStyle="stop" operator="between" showDropDown="false" showErrorMessage="false" showInputMessage="false" sqref="E2:E51" type="list">
      <formula1>",Adaptive,Area,Bug-Ridden,Chaser,Crashguard,DINAB,Limit,Noise,One-Shot,Optimization,Penetration,Selective,Sensitive,Sneak,Squeeze,Stealth,Targeting,Armor,Cascading IC,Expert Defense,Expert Offense,Party Cluster,Shield,Shift,Trap,Self-Coder"</formula1>
      <formula2>0</formula2>
    </dataValidation>
    <dataValidation allowBlank="false" errorStyle="stop" operator="between" showDropDown="false" showErrorMessage="false" showInputMessage="false" sqref="K2:K51" type="list">
      <formula1>"TRUE,FALSE"</formula1>
      <formula2>0</formula2>
    </dataValidation>
    <dataValidation allowBlank="false" errorStyle="stop" operator="between" showDropDown="false" showErrorMessage="false" showInputMessage="false" sqref="D2:D51" type="whole">
      <formula1>0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6" activeCellId="1" sqref="AC2:AC83 B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3" min="2" style="1" width="34"/>
    <col collapsed="false" customWidth="true" hidden="false" outlineLevel="0" max="4" min="4" style="1" width="70"/>
  </cols>
  <sheetData>
    <row r="1" customFormat="false" ht="19.7" hidden="false" customHeight="false" outlineLevel="0" collapsed="false">
      <c r="A1" s="13" t="s">
        <v>77</v>
      </c>
      <c r="B1" s="13"/>
      <c r="C1" s="13"/>
      <c r="D1" s="13"/>
    </row>
    <row r="2" customFormat="false" ht="15" hidden="false" customHeight="false" outlineLevel="0" collapsed="false">
      <c r="A2" s="14" t="s">
        <v>78</v>
      </c>
      <c r="B2" s="14" t="s">
        <v>79</v>
      </c>
      <c r="C2" s="14" t="s">
        <v>80</v>
      </c>
      <c r="D2" s="14" t="s">
        <v>81</v>
      </c>
    </row>
    <row r="3" customFormat="false" ht="15" hidden="false" customHeight="false" outlineLevel="0" collapsed="false">
      <c r="A3" s="1" t="s">
        <v>82</v>
      </c>
      <c r="B3" s="1" t="s">
        <v>83</v>
      </c>
      <c r="C3" s="1" t="s">
        <v>84</v>
      </c>
      <c r="D3" s="1" t="s">
        <v>85</v>
      </c>
    </row>
    <row r="4" customFormat="false" ht="15" hidden="false" customHeight="false" outlineLevel="0" collapsed="false">
      <c r="A4" s="1" t="s">
        <v>14</v>
      </c>
      <c r="B4" s="1" t="s">
        <v>83</v>
      </c>
      <c r="C4" s="1" t="s">
        <v>86</v>
      </c>
      <c r="D4" s="1" t="s">
        <v>87</v>
      </c>
    </row>
    <row r="5" customFormat="false" ht="15" hidden="false" customHeight="false" outlineLevel="0" collapsed="false">
      <c r="A5" s="1" t="s">
        <v>88</v>
      </c>
      <c r="B5" s="1" t="s">
        <v>89</v>
      </c>
    </row>
    <row r="6" customFormat="false" ht="15" hidden="false" customHeight="false" outlineLevel="0" collapsed="false">
      <c r="A6" s="1" t="s">
        <v>90</v>
      </c>
      <c r="B6" s="1" t="s">
        <v>91</v>
      </c>
    </row>
    <row r="7" customFormat="false" ht="15" hidden="false" customHeight="false" outlineLevel="0" collapsed="false">
      <c r="A7" s="1" t="s">
        <v>92</v>
      </c>
      <c r="B7" s="1" t="s">
        <v>83</v>
      </c>
    </row>
    <row r="8" customFormat="false" ht="15" hidden="false" customHeight="false" outlineLevel="0" collapsed="false">
      <c r="A8" s="1" t="s">
        <v>93</v>
      </c>
      <c r="B8" s="1" t="s">
        <v>94</v>
      </c>
    </row>
    <row r="9" customFormat="false" ht="15" hidden="false" customHeight="false" outlineLevel="0" collapsed="false">
      <c r="A9" s="1" t="s">
        <v>95</v>
      </c>
      <c r="B9" s="1" t="s">
        <v>96</v>
      </c>
    </row>
    <row r="10" customFormat="false" ht="15" hidden="false" customHeight="false" outlineLevel="0" collapsed="false">
      <c r="A10" s="1" t="s">
        <v>18</v>
      </c>
      <c r="B10" s="1" t="s">
        <v>97</v>
      </c>
    </row>
    <row r="11" customFormat="false" ht="15" hidden="false" customHeight="false" outlineLevel="0" collapsed="false">
      <c r="A11" s="1" t="s">
        <v>98</v>
      </c>
      <c r="B11" s="1" t="s">
        <v>99</v>
      </c>
    </row>
    <row r="12" customFormat="false" ht="15" hidden="false" customHeight="false" outlineLevel="0" collapsed="false">
      <c r="A12" s="1" t="s">
        <v>100</v>
      </c>
      <c r="B12" s="1" t="s">
        <v>101</v>
      </c>
    </row>
    <row r="13" customFormat="false" ht="15" hidden="false" customHeight="false" outlineLevel="0" collapsed="false">
      <c r="A13" s="1" t="s">
        <v>102</v>
      </c>
      <c r="B13" s="1" t="s">
        <v>83</v>
      </c>
      <c r="C13" s="1" t="s">
        <v>103</v>
      </c>
      <c r="D13" s="1" t="s">
        <v>104</v>
      </c>
    </row>
    <row r="14" customFormat="false" ht="15" hidden="false" customHeight="false" outlineLevel="0" collapsed="false">
      <c r="A14" s="1" t="s">
        <v>105</v>
      </c>
      <c r="B14" s="1" t="s">
        <v>94</v>
      </c>
    </row>
    <row r="15" customFormat="false" ht="15" hidden="false" customHeight="false" outlineLevel="0" collapsed="false">
      <c r="A15" s="1" t="s">
        <v>106</v>
      </c>
      <c r="B15" s="1" t="s">
        <v>94</v>
      </c>
    </row>
    <row r="16" customFormat="false" ht="15" hidden="false" customHeight="false" outlineLevel="0" collapsed="false">
      <c r="A16" s="1" t="s">
        <v>107</v>
      </c>
      <c r="B16" s="1" t="s">
        <v>83</v>
      </c>
      <c r="C16" s="1" t="s">
        <v>108</v>
      </c>
      <c r="D16" s="1" t="s">
        <v>109</v>
      </c>
    </row>
    <row r="17" customFormat="false" ht="15" hidden="false" customHeight="false" outlineLevel="0" collapsed="false">
      <c r="A17" s="1" t="s">
        <v>38</v>
      </c>
      <c r="B17" s="1" t="s">
        <v>110</v>
      </c>
    </row>
    <row r="18" customFormat="false" ht="15" hidden="false" customHeight="false" outlineLevel="0" collapsed="false">
      <c r="A18" s="1" t="s">
        <v>111</v>
      </c>
      <c r="B18" s="1" t="s">
        <v>94</v>
      </c>
    </row>
    <row r="19" customFormat="false" ht="15" hidden="false" customHeight="false" outlineLevel="0" collapsed="false">
      <c r="A19" s="1" t="s">
        <v>33</v>
      </c>
      <c r="B19" s="1" t="s">
        <v>112</v>
      </c>
    </row>
    <row r="20" customFormat="false" ht="15" hidden="false" customHeight="false" outlineLevel="0" collapsed="false">
      <c r="A20" s="1" t="s">
        <v>26</v>
      </c>
      <c r="B20" s="1" t="s">
        <v>89</v>
      </c>
    </row>
    <row r="21" customFormat="false" ht="15" hidden="false" customHeight="false" outlineLevel="0" collapsed="false">
      <c r="A21" s="1" t="s">
        <v>113</v>
      </c>
      <c r="B21" s="1" t="s">
        <v>89</v>
      </c>
    </row>
    <row r="22" customFormat="false" ht="15" hidden="false" customHeight="false" outlineLevel="0" collapsed="false">
      <c r="A22" s="1" t="s">
        <v>114</v>
      </c>
      <c r="B22" s="1" t="s">
        <v>115</v>
      </c>
    </row>
    <row r="23" customFormat="false" ht="15" hidden="false" customHeight="false" outlineLevel="0" collapsed="false">
      <c r="A23" s="1" t="s">
        <v>116</v>
      </c>
      <c r="B23" s="1" t="s">
        <v>94</v>
      </c>
    </row>
    <row r="24" customFormat="false" ht="15" hidden="false" customHeight="false" outlineLevel="0" collapsed="false">
      <c r="A24" s="1" t="s">
        <v>117</v>
      </c>
      <c r="B24" s="1" t="s">
        <v>94</v>
      </c>
    </row>
    <row r="25" customFormat="false" ht="15" hidden="false" customHeight="false" outlineLevel="0" collapsed="false">
      <c r="A25" s="1" t="s">
        <v>118</v>
      </c>
      <c r="B25" s="1" t="s">
        <v>115</v>
      </c>
    </row>
    <row r="26" customFormat="false" ht="15" hidden="false" customHeight="false" outlineLevel="0" collapsed="false">
      <c r="A26" s="1" t="s">
        <v>119</v>
      </c>
      <c r="B26" s="1" t="s">
        <v>89</v>
      </c>
    </row>
    <row r="27" customFormat="false" ht="15" hidden="false" customHeight="false" outlineLevel="0" collapsed="false">
      <c r="A27" s="1" t="s">
        <v>120</v>
      </c>
      <c r="B27" s="1" t="s">
        <v>89</v>
      </c>
    </row>
    <row r="28" customFormat="false" ht="15" hidden="false" customHeight="false" outlineLevel="0" collapsed="false">
      <c r="A28" s="1" t="s">
        <v>121</v>
      </c>
      <c r="B28" s="1" t="s">
        <v>122</v>
      </c>
    </row>
    <row r="29" customFormat="false" ht="15" hidden="false" customHeight="false" outlineLevel="0" collapsed="false">
      <c r="A29" s="1" t="s">
        <v>123</v>
      </c>
      <c r="B29" s="1" t="s">
        <v>124</v>
      </c>
    </row>
    <row r="31" customFormat="false" ht="54" hidden="false" customHeight="true" outlineLevel="0" collapsed="false">
      <c r="A31" s="15" t="s">
        <v>125</v>
      </c>
      <c r="B31" s="16" t="s">
        <v>126</v>
      </c>
      <c r="C31" s="16" t="s">
        <v>127</v>
      </c>
      <c r="D31" s="16" t="s">
        <v>128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2026-08-09T05:04:17Z</dcterms:created>
  <dc:creator>openpyxl</dc:creator>
  <dc:description/>
  <dc:language>en-US</dc:language>
  <cp:lastModifiedBy/>
  <dcterms:modified xsi:type="dcterms:W3CDTF">2026-08-16T23:30:32Z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